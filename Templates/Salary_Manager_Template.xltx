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102AB788-79E5-42A6-B590-D0809C63909D}" xr6:coauthVersionLast="47" xr6:coauthVersionMax="47" xr10:uidLastSave="{00000000-0000-0000-0000-000000000000}"/>
  <bookViews>
    <workbookView xWindow="23040" yWindow="0" windowWidth="23040" windowHeight="18600" activeTab="2" xr2:uid="{3FDA9AC6-F7FF-4123-9A06-E87A9BB7CF5D}"/>
  </bookViews>
  <sheets>
    <sheet name="Master" sheetId="2" r:id="rId1"/>
    <sheet name="Lookups" sheetId="5" state="hidden" r:id="rId2"/>
    <sheet name="Preference" sheetId="3" r:id="rId3"/>
    <sheet name="License" sheetId="7" r:id="rId4"/>
    <sheet name="Leave" sheetId="4" r:id="rId5"/>
  </sheets>
  <definedNames>
    <definedName name="ActiveStatusList">Lookups!$G$2:$G$4</definedName>
    <definedName name="ApprovalStatusList">Lookups!$O$2:$O$4</definedName>
    <definedName name="DaysOfWeekList">Lookups!$I$2:$I$8</definedName>
    <definedName name="DepartmentList">Lookups!$A$2:$A$3</definedName>
    <definedName name="LeaveList">Lookups!$K$2:$K$5</definedName>
    <definedName name="LeaveTypeList">Lookups!$I$2:$I$5</definedName>
    <definedName name="LicenseClassList">Lookups!$M$2:$M$10</definedName>
    <definedName name="LicenseStatusList">Lookups!$O$2:$O$4</definedName>
    <definedName name="PayTypeList">Lookups!$E$2:$E$3</definedName>
    <definedName name="SessionList">Lookups!$K$2:$K$5</definedName>
    <definedName name="ShiftList">Lookups!$C$2:$C$4</definedName>
    <definedName name="SkillsList">SkillsTable[Skills]</definedName>
    <definedName name="TeamList">TeamTable[Teams]</definedName>
    <definedName name="VehicleTypeList">Lookups!$Q$2:$Q$7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4" l="1"/>
  <c r="B2" i="7"/>
  <c r="B3" i="7"/>
  <c r="B4" i="7"/>
  <c r="B5" i="7"/>
  <c r="B6" i="7"/>
  <c r="A3" i="3" a="1"/>
  <c r="A3" i="3" s="1"/>
  <c r="B3" i="3" s="1"/>
  <c r="A4" i="3" a="1"/>
  <c r="A4" i="3" s="1"/>
  <c r="B4" i="3" s="1"/>
  <c r="A2" i="3" a="1"/>
  <c r="A2" i="3" s="1"/>
  <c r="B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<sst xmlns="http://schemas.openxmlformats.org/spreadsheetml/2006/main" count="971" uniqueCount="88">
  <si>
    <t>NRIC_Passport</t>
  </si>
  <si>
    <t>Department</t>
  </si>
  <si>
    <t>Primary_Skill</t>
  </si>
  <si>
    <t>Pay_Type</t>
  </si>
  <si>
    <t>Base_Rate</t>
  </si>
  <si>
    <t>Overtime_Rate</t>
  </si>
  <si>
    <t>Active_Status</t>
  </si>
  <si>
    <t>Preferred_Shift</t>
  </si>
  <si>
    <t>Max_Days_Per_Week</t>
  </si>
  <si>
    <t>Blacklisted_Task</t>
  </si>
  <si>
    <t>Leave_ID</t>
  </si>
  <si>
    <t>Leave_Type</t>
  </si>
  <si>
    <t>Date_Start</t>
  </si>
  <si>
    <t>Date_End</t>
  </si>
  <si>
    <t>Total_Days</t>
  </si>
  <si>
    <t>Approval_Status</t>
  </si>
  <si>
    <t>Staff_ID</t>
  </si>
  <si>
    <t>Session</t>
  </si>
  <si>
    <t>DepartmentList</t>
  </si>
  <si>
    <t>Admin</t>
  </si>
  <si>
    <t>Worker</t>
  </si>
  <si>
    <t>ShiftList</t>
  </si>
  <si>
    <t>Morning</t>
  </si>
  <si>
    <t>Afternoon</t>
  </si>
  <si>
    <t>Night</t>
  </si>
  <si>
    <t>PayTypeList</t>
  </si>
  <si>
    <t>Hourly</t>
  </si>
  <si>
    <t>Monthly</t>
  </si>
  <si>
    <t>ActiveStatusList</t>
  </si>
  <si>
    <t>OnContract</t>
  </si>
  <si>
    <t>Suspended</t>
  </si>
  <si>
    <t>OffContract</t>
  </si>
  <si>
    <t>Teams</t>
  </si>
  <si>
    <t>Skills</t>
  </si>
  <si>
    <t>Secondary_Skill</t>
  </si>
  <si>
    <t>Primary_Rest_Day</t>
  </si>
  <si>
    <t>Secondary_Rest_Day</t>
  </si>
  <si>
    <t/>
  </si>
  <si>
    <t>AnnualLeave</t>
  </si>
  <si>
    <t>MedicalLeave</t>
  </si>
  <si>
    <t>EmergencyLeave</t>
  </si>
  <si>
    <t>Unpaid</t>
  </si>
  <si>
    <t>SessionList</t>
  </si>
  <si>
    <t>FullDay</t>
  </si>
  <si>
    <t>Primary_Team</t>
  </si>
  <si>
    <t>Secondary_Team</t>
  </si>
  <si>
    <t>Given_Name</t>
  </si>
  <si>
    <t>Middle_Name</t>
  </si>
  <si>
    <t>Family_Name</t>
  </si>
  <si>
    <t>Name</t>
  </si>
  <si>
    <t>Preferred_Vechicle_Type</t>
  </si>
  <si>
    <t>Dedicated_Vechicle_ID</t>
  </si>
  <si>
    <t>LeaveTypeList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</si>
  <si>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</si>
  <si>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</si>
  <si>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</si>
  <si>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</si>
  <si>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</si>
  <si>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</si>
  <si>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</si>
  <si>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</si>
  <si>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</si>
  <si>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</si>
  <si>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</si>
  <si>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</si>
  <si>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</si>
  <si>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</si>
  <si>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</si>
  <si>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</si>
  <si>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License_Class</t>
  </si>
  <si>
    <t>Expiry_Date</t>
  </si>
  <si>
    <t>Status</t>
  </si>
  <si>
    <t>LicenseStatusList</t>
  </si>
  <si>
    <t>Valid</t>
  </si>
  <si>
    <t>Invalid</t>
  </si>
  <si>
    <t>3</t>
  </si>
  <si>
    <t>He</t>
  </si>
  <si>
    <t>1</t>
  </si>
  <si>
    <t>Ng</t>
  </si>
  <si>
    <t>000710100197</t>
  </si>
  <si>
    <t>2</t>
  </si>
  <si>
    <t>Lee</t>
  </si>
  <si>
    <t>Yuan</t>
  </si>
  <si>
    <t>Leng</t>
  </si>
  <si>
    <t>897492374</t>
  </si>
  <si>
    <t>Jimmy</t>
  </si>
  <si>
    <t>Kian Leng</t>
  </si>
  <si>
    <t>423094723894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</si>
</sst>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0" fillId="2" borderId="0" xfId="0" applyFill="1"/>
    <xf numFmtId="49" fontId="0" fillId="0" borderId="0" xfId="0" applyNumberFormat="1"/>
    <xf numFmtId="0" fontId="0" fillId="0" borderId="0" xfId="0" applyProtection="1">
      <protection locked="0"/>
    </xf>
    <xf numFmtId="1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0" fillId="4" borderId="0" xfId="0" applyFill="1"/>
    <xf numFmtId="49" fontId="0" fillId="0" borderId="0" xfId="0" applyNumberFormat="1" applyFill="1"/>
    <xf numFmtId="0" fontId="0" fillId="0" borderId="0" xfId="0" applyFill="1"/>
    <xf numFmtId="0" fontId="0" fillId="0" borderId="0" xfId="0" applyFill="1" applyProtection="1">
      <protection locked="0"/>
    </xf>
    <xf numFmtId="49" fontId="2" fillId="6" borderId="0" xfId="0" applyNumberFormat="1" applyFont="1" applyFill="1"/>
    <xf numFmtId="0" fontId="2" fillId="6" borderId="0" xfId="0" applyFont="1" applyFill="1"/>
    <xf numFmtId="0" fontId="2" fillId="6" borderId="0" xfId="0" applyFont="1" applyFill="1" applyProtection="1">
      <protection locked="0"/>
    </xf>
    <xf numFmtId="0" fontId="2" fillId="6" borderId="1" xfId="0" applyFont="1" applyFill="1" applyBorder="1"/>
    <xf numFmtId="14" fontId="0" fillId="4" borderId="0" xfId="0" applyNumberFormat="1" applyFill="1"/>
    <xf numFmtId="0" fontId="0" fillId="0" borderId="0" xfId="0" applyBorder="1"/>
    <xf numFmtId="0" fontId="0" fillId="0" borderId="0" xfId="0" applyProtection="1"/>
    <xf numFmtId="0" fontId="0" fillId="6" borderId="0" xfId="0" applyFill="1" applyProtection="1">
      <protection locked="0"/>
    </xf>
    <xf numFmtId="0" fontId="0" fillId="7" borderId="0" xfId="0" applyFill="1" applyProtection="1">
      <protection locked="0"/>
    </xf>
    <xf numFmtId="0" fontId="3" fillId="8" borderId="0" xfId="0" applyFont="1" applyFill="1" applyProtection="1">
      <protection locked="0"/>
    </xf>
    <xf numFmtId="0" fontId="3" fillId="5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0" fillId="2" borderId="0" xfId="0" applyFill="1" applyBorder="1"/>
    <xf numFmtId="0" fontId="3" fillId="8" borderId="0" xfId="0" applyFont="1" applyFill="1" applyBorder="1"/>
  </cellXfs>
  <cellStyles count="1">
    <cellStyle name="Normal" xfId="0" builtinId="0"/>
  </cellStyles>
  <dxfs count="83">
    <dxf>
      <numFmt numFmtId="0" formatCode="General"/>
    </dxf>
    <dxf>
      <fill>
        <patternFill patternType="lightUp">
          <fgColor theme="0" tint="-0.49998474074526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protection locked="1" hidden="0"/>
    </dxf>
    <dxf>
      <protection locked="0" hidden="0"/>
    </dxf>
    <dxf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ill>
        <patternFill patternType="solid">
          <fgColor indexed="64"/>
          <bgColor theme="3" tint="0.749992370372631"/>
        </patternFill>
      </fill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theme="5" tint="0.79998168889431442"/>
        </patternFill>
      </fill>
      <protection locked="0" hidden="0"/>
    </dxf>
    <dxf>
      <protection locked="0" hidden="0"/>
    </dxf>
    <dxf>
      <protection locked="0" hidden="0"/>
    </dxf>
    <dxf>
      <numFmt numFmtId="1" formatCode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lightUp">
          <fgColor theme="0" tint="-0.49998474074526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Up">
          <fgColor rgb="FFFF0000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Up">
          <fgColor theme="0" tint="-0.499984740745262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Up">
          <fgColor rgb="FFFF0000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Up">
          <fgColor rgb="FFFF0000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Up">
          <fgColor rgb="FFFF0000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0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1" tint="0.499984740745262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theme="9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82"/>
      <tableStyleElement type="firstRowStripe" dxfId="81"/>
      <tableStyleElement type="secondRowStripe" dxfId="80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StaffMasterTable" displayName="StaffMasterTable" ref="A1:J4" totalsRowShown="0" headerRowDxfId="62" dataDxfId="79">
  <autoFilter ref="A1:J4" xr:uid="{6C55ECDC-78B4-4928-855A-1850342E1925}"/>
  <tableColumns count="10">
    <tableColumn id="1" xr3:uid="{8FE4E115-6A50-473D-BC55-E3D5AC055C9C}" name="Staff_ID" dataDxfId="78"/>
    <tableColumn id="5" xr3:uid="{4CB60809-3001-4FAE-A3D5-5DB4A7B681F9}" name="Family_Name"/>
    <tableColumn id="6" xr3:uid="{8BE08C07-B356-41DE-A2AC-BB77BD371796}" name="Middle_Name"/>
    <tableColumn id="2" xr3:uid="{6CE96416-A525-452A-8542-702E95EE6802}" name="Given_Name" dataDxfId="77"/>
    <tableColumn id="3" xr3:uid="{3A16DB0B-9E26-4047-A3C5-EEF5ED3B53A0}" name="NRIC_Passport" dataDxfId="76"/>
    <tableColumn id="4" xr3:uid="{03B9E316-4AF0-41E9-B949-399CB3047B5E}" name="Department" dataDxfId="75"/>
    <tableColumn id="9" xr3:uid="{34552D5A-2CB9-4E44-9679-433E8090B28A}" name="Pay_Type" dataDxfId="74"/>
    <tableColumn id="10" xr3:uid="{C8A7BD37-FBE8-4108-96B8-A35E91C912E3}" name="Base_Rate" dataDxfId="73"/>
    <tableColumn id="11" xr3:uid="{E61A0F9B-C47D-491E-85DD-90CEC9BE5DDC}" name="Overtime_Rate" dataDxfId="72"/>
    <tableColumn id="12" xr3:uid="{67DD885E-01BE-446A-A0DA-CEB36D7A9C6C}" name="Active_Status" dataDxfId="71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E42102-4484-4B90-B281-1EBB8F1B14F2}" name="StaffPreferenceTable" displayName="StaffPreferenceTable" ref="A1:M4" totalsRowShown="0" headerRowDxfId="15" dataDxfId="14">
  <autoFilter ref="A1:M4" xr:uid="{CFE42102-4484-4B90-B281-1EBB8F1B14F2}"/>
  <tableColumns count="13">
    <tableColumn id="1" xr3:uid="{BC4C59D3-B7A2-462C-9850-D9B3AB8C1592}" name="Staff_ID" dataDxfId="7">
      <calculatedColumnFormula array="1">IFERROR(
    INDEX(_xlfn._xlws.FILTER(StaffMasterTable[Staff_ID], StaffMasterTable[Active_Status] &lt;&gt; "OffContract"), ROW() - ROW(StaffPreferenceTable[[#Headers],[Staff_ID]])),
    ""
)</calculatedColumnFormula>
    </tableColumn>
    <tableColumn id="9" xr3:uid="{3E1C0431-6133-4E8C-A79C-1AADE1BCA021}" name="Name" dataDxfId="5">
      <calculatedColumnFormula>IF(StaffPreferenceTable[[#This Row],[Staff_ID]]="", "",
    _xlfn.LET(
        _xlpm.rowMatch, _xlfn.XLOOKUP(StaffPreferenceTable[[#This Row],[Staff_ID]], StaffMasterTable[Staff_ID], StaffMasterTable[[Family_Name]:[Given_Name]], ""),
        TRIM(_xlfn.TEXTJOIN(" ", TRUE, INDEX(_xlpm.rowMatch, 1), INDEX(_xlpm.rowMatch, 3)))
    )
)</calculatedColumnFormula>
    </tableColumn>
    <tableColumn id="10" xr3:uid="{955E6C51-CADD-44D6-B6EF-35D86C0D2CCD}" name="Primary_Team" dataDxfId="6"/>
    <tableColumn id="11" xr3:uid="{99FA7FC6-5ADA-4BBA-8F91-F848C9EDA054}" name="Secondary_Team" dataDxfId="25"/>
    <tableColumn id="8" xr3:uid="{123D9B6D-54D7-4179-BB3B-A8FFB69C998C}" name="Primary_Skill" dataDxfId="24"/>
    <tableColumn id="7" xr3:uid="{845E0D79-8CC7-453F-89C7-45713EF687AF}" name="Secondary_Skill" dataDxfId="23"/>
    <tableColumn id="5" xr3:uid="{A87A26A2-F000-4DFA-9DEF-60185F95713B}" name="Blacklisted_Task" dataDxfId="22"/>
    <tableColumn id="12" xr3:uid="{CDB7A484-3B0C-4519-98EC-3FD26B8CCF7C}" name="Preferred_Vechicle_Type" dataDxfId="21"/>
    <tableColumn id="13" xr3:uid="{30D9AE32-F8BB-44EA-A447-A5FE9E6961FD}" name="Dedicated_Vechicle_ID" dataDxfId="20"/>
    <tableColumn id="2" xr3:uid="{8BB5AEC4-53DD-4506-B236-33CE04204A4A}" name="Preferred_Shift" dataDxfId="19"/>
    <tableColumn id="3" xr3:uid="{D41D8972-59E8-4D43-848D-C88ADF247752}" name="Max_Days_Per_Week" dataDxfId="18"/>
    <tableColumn id="4" xr3:uid="{BA43D4AF-5ACC-4BF5-B36E-28D17609B4C2}" name="Primary_Rest_Day" dataDxfId="17"/>
    <tableColumn id="6" xr3:uid="{D59D316B-FD8A-40CE-A737-19A1D67A9310}" name="Secondary_Rest_Day" dataDxfId="16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B333EA-2A56-4BF7-8004-6D6BB4AD4369}" name="TeamTable" displayName="TeamTable" ref="O1:O2" insertRow="1" totalsRowShown="0" headerRowDxfId="12" dataDxfId="11">
  <autoFilter ref="O1:O2" xr:uid="{C6B333EA-2A56-4BF7-8004-6D6BB4AD4369}"/>
  <tableColumns count="1">
    <tableColumn id="1" xr3:uid="{500FE8E3-888E-412F-8991-333F861959DE}" name="Teams" dataDxfId="13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4B3C69-AF7B-469E-9DDE-52EB31C7FE3C}" name="SkillsTable" displayName="SkillsTable" ref="Q1:Q2" insertRow="1" totalsRowShown="0" headerRowDxfId="9" dataDxfId="8">
  <autoFilter ref="Q1:Q2" xr:uid="{C64B3C69-AF7B-469E-9DDE-52EB31C7FE3C}"/>
  <tableColumns count="1">
    <tableColumn id="1" xr3:uid="{B1CCF030-0E41-430D-9954-A3D39EAC20B4}" name="Skills" dataDxfId="10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E5AE7-241B-4B58-83CE-BD95A727235C}" name="Table6" displayName="Table6" ref="A1:E6" totalsRowShown="0">
  <autoFilter ref="A1:E6" xr:uid="{59FE5AE7-241B-4B58-83CE-BD95A727235C}"/>
  <tableColumns count="5">
    <tableColumn id="1" xr3:uid="{FDF47DDC-CD36-4433-9C98-B0762CD4D756}" name="Staff_ID"/>
    <tableColumn id="2" xr3:uid="{8C84D9C0-46BC-41A2-9AE6-F4087A59EF77}" name="Name" dataDxfId="0">
      <calculatedColumnFormula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calculatedColumnFormula>
    </tableColumn>
    <tableColumn id="3" xr3:uid="{C8F1E137-B21F-4E1B-A87E-01FBFA2F0294}" name="License_Class"/>
    <tableColumn id="4" xr3:uid="{14745BDA-9C7A-45F6-8E65-5654663196B2}" name="Expiry_Date"/>
    <tableColumn id="8" xr3:uid="{207A00A6-FE7D-4D67-ACF0-7C8462F0D824}" name="Status"/>
  </tableColumns>
  <tableStyleInfo name="SKSBStyleTable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1E3F0E-CD59-49F3-B880-CA6D827BB82A}" name="Table4" displayName="Table4" ref="A1:I2" totalsRowShown="0" headerRowDxfId="70">
  <autoFilter ref="A1:I2" xr:uid="{331E3F0E-CD59-49F3-B880-CA6D827BB82A}"/>
  <tableColumns count="9">
    <tableColumn id="9" xr3:uid="{C109ECF4-F444-4572-BBB8-E10478BDCBBE}" name="Leave_ID" dataDxfId="69"/>
    <tableColumn id="1" xr3:uid="{E98B3F73-80EA-47C1-B7BA-8126548BB890}" name="Staff_ID"/>
    <tableColumn id="2" xr3:uid="{4BAF83CB-5658-4757-B2A2-78FBB6AFBC00}" name="Name">
      <calculatedColumnFormula>_xlfn.LET(
    _xlpm.id, Table4[[#This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calculatedColumnFormula>
    </tableColumn>
    <tableColumn id="3" xr3:uid="{6FEBED1C-3076-489C-A50E-D073974C2236}" name="Leave_Type" dataDxfId="68"/>
    <tableColumn id="4" xr3:uid="{A3F3B0E0-BCC3-4608-A741-2B4AA320E079}" name="Date_Start" dataDxfId="67"/>
    <tableColumn id="5" xr3:uid="{D0F6EFC5-8018-4432-8250-1577E99BAAEA}" name="Date_End" dataDxfId="66"/>
    <tableColumn id="11" xr3:uid="{AA4D3AF1-FC39-48D7-A8AB-1D5E3F2D1056}" name="Session" dataDxfId="65"/>
    <tableColumn id="6" xr3:uid="{D5E8E864-8F0D-4109-B273-5D0885F2D040}" name="Total_Days" dataDxfId="64"/>
    <tableColumn id="7" xr3:uid="{FA2C5D94-6967-4DF9-98D5-D1A77DC82395}" name="Approval_Status" dataDxfId="63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K5"/>
  <sheetViews>
    <sheetView showGridLines="0" workbookViewId="0">
      <selection activeCell="I22" sqref="I22"/>
    </sheetView>
  </sheetViews>
  <sheetFormatPr defaultRowHeight="14.4" x14ac:dyDescent="0.3"/>
  <cols>
    <col min="1" max="1" width="12.6640625" style="3" bestFit="1" customWidth="1"/>
    <col min="2" max="2" width="15.44140625" customWidth="1"/>
    <col min="3" max="3" width="15.33203125" customWidth="1"/>
    <col min="4" max="4" width="16.5546875" customWidth="1"/>
    <col min="5" max="5" width="16.88671875" style="3" bestFit="1" customWidth="1"/>
    <col min="6" max="6" width="14.109375" bestFit="1" customWidth="1"/>
    <col min="7" max="7" width="11.5546875" bestFit="1" customWidth="1"/>
    <col min="8" max="8" width="16.33203125" customWidth="1"/>
    <col min="9" max="9" width="16.88671875" bestFit="1" customWidth="1"/>
    <col min="10" max="10" width="15.5546875" bestFit="1" customWidth="1"/>
  </cols>
  <sheetData>
    <row r="1" spans="1:11" x14ac:dyDescent="0.3">
      <c r="A1" s="11" t="s">
        <v>16</v>
      </c>
      <c r="B1" s="12" t="s">
        <v>48</v>
      </c>
      <c r="C1" s="12" t="s">
        <v>47</v>
      </c>
      <c r="D1" s="12" t="s">
        <v>46</v>
      </c>
      <c r="E1" s="11" t="s">
        <v>0</v>
      </c>
      <c r="F1" s="12" t="s">
        <v>1</v>
      </c>
      <c r="G1" s="12" t="s">
        <v>3</v>
      </c>
      <c r="H1" s="12" t="s">
        <v>4</v>
      </c>
      <c r="I1" s="13" t="s">
        <v>5</v>
      </c>
      <c r="J1" s="14" t="s">
        <v>6</v>
      </c>
      <c r="K1" s="1"/>
    </row>
    <row r="2" spans="1:11" x14ac:dyDescent="0.3">
      <c r="A2" s="3" t="s">
        <v>77</v>
      </c>
      <c r="B2" t="s">
        <v>78</v>
      </c>
      <c r="D2" t="s">
        <v>76</v>
      </c>
      <c r="E2" s="3" t="s">
        <v>79</v>
      </c>
      <c r="F2" t="s">
        <v>19</v>
      </c>
      <c r="G2" t="s">
        <v>27</v>
      </c>
      <c r="H2">
        <v>4000</v>
      </c>
      <c r="J2" t="s">
        <v>29</v>
      </c>
    </row>
    <row r="3" spans="1:11" x14ac:dyDescent="0.3">
      <c r="A3" s="8" t="s">
        <v>80</v>
      </c>
      <c r="B3" t="s">
        <v>81</v>
      </c>
      <c r="C3" t="s">
        <v>82</v>
      </c>
      <c r="D3" s="9" t="s">
        <v>83</v>
      </c>
      <c r="E3" s="8" t="s">
        <v>84</v>
      </c>
      <c r="F3" s="9" t="s">
        <v>19</v>
      </c>
      <c r="G3" s="9" t="s">
        <v>27</v>
      </c>
      <c r="H3" s="9">
        <v>5000</v>
      </c>
      <c r="I3" s="10"/>
      <c r="J3" s="9" t="s">
        <v>29</v>
      </c>
    </row>
    <row r="4" spans="1:11" x14ac:dyDescent="0.3">
      <c r="A4" s="8" t="s">
        <v>75</v>
      </c>
      <c r="B4" t="s">
        <v>78</v>
      </c>
      <c r="C4" t="s">
        <v>85</v>
      </c>
      <c r="D4" s="9" t="s">
        <v>86</v>
      </c>
      <c r="E4" s="8" t="s">
        <v>87</v>
      </c>
      <c r="F4" s="9" t="s">
        <v>19</v>
      </c>
      <c r="G4" s="9" t="s">
        <v>26</v>
      </c>
      <c r="H4" s="9">
        <v>10</v>
      </c>
      <c r="I4" s="10">
        <v>20</v>
      </c>
      <c r="J4" s="9" t="s">
        <v>29</v>
      </c>
    </row>
    <row r="5" spans="1:11" x14ac:dyDescent="0.3">
      <c r="A5" s="8"/>
      <c r="D5" s="9"/>
      <c r="E5" s="8"/>
      <c r="F5" s="9"/>
      <c r="G5" s="9"/>
      <c r="H5" s="9"/>
      <c r="I5" s="10"/>
      <c r="J5" s="9"/>
    </row>
  </sheetData>
  <sheetProtection formatCells="0" insertRows="0" deleteRows="0" sort="0" autoFilter="0"/>
  <phoneticPr fontId="1" type="noConversion"/>
  <conditionalFormatting sqref="B2:B4 D2:H4 J2:J4">
    <cfRule type="expression" dxfId="35" priority="3">
      <formula>AND($A2&lt;&gt;"", ISBLANK(B2))</formula>
    </cfRule>
  </conditionalFormatting>
  <conditionalFormatting sqref="I2:I4">
    <cfRule type="expression" dxfId="33" priority="1">
      <formula>AND($A2&lt;&gt;"",$G2="Monthly")</formula>
    </cfRule>
    <cfRule type="expression" dxfId="34" priority="2">
      <formula>AND($A2&lt;&gt;"",$G2="Hourly", ISBLANK($G2))</formula>
    </cfRule>
  </conditionalFormatting>
  <dataValidations count="5">
    <dataValidation type="list" allowBlank="1" showInputMessage="1" showErrorMessage="1" errorTitle="Invalid Value" error="Please pick an approved value from the dropdown list." sqref="J2:J4" xr:uid="{E1602305-ED2A-4EDC-B311-08511BAAF9D3}">
      <formula1>ActiveStatusList</formula1>
    </dataValidation>
    <dataValidation allowBlank="1" showInputMessage="1" sqref="F1:G1 F5:G1048576" xr:uid="{2FC6DE7C-E601-4CDF-956C-ED864D67D749}"/>
    <dataValidation type="list" allowBlank="1" showInputMessage="1" showErrorMessage="1" errorTitle="Invalid Value" error="Please pick an approved value from the dropdown list." sqref="F2:F4" xr:uid="{6137544E-E9C3-4892-A2E5-D7EC211EB833}">
      <formula1>DepartmentList</formula1>
    </dataValidation>
    <dataValidation type="list" allowBlank="1" showInputMessage="1" showErrorMessage="1" errorTitle="Invalid Value" error="Please pick an approved value from the dropdown list." sqref="G2:G4" xr:uid="{F59EF707-3828-47FA-B234-317894428463}">
      <formula1>PayTypeList</formula1>
    </dataValidation>
    <dataValidation type="custom" allowBlank="1" showInputMessage="1" showErrorMessage="1" errorTitle="Invalid Data Entry" error="No overtime for Monthly payment type." sqref="I2:I4" xr:uid="{8EEB7378-18B4-45B4-A95D-CF82B82C1D28}">
      <formula1>$G2="Hourly"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Q101"/>
  <sheetViews>
    <sheetView workbookViewId="0">
      <selection activeCell="U24" sqref="U23:U24"/>
    </sheetView>
  </sheetViews>
  <sheetFormatPr defaultRowHeight="14.4" x14ac:dyDescent="0.3"/>
  <sheetData>
    <row r="1" spans="1:17" x14ac:dyDescent="0.3">
      <c r="A1" t="s">
        <v>18</v>
      </c>
      <c r="C1" t="s">
        <v>21</v>
      </c>
      <c r="E1" t="s">
        <v>25</v>
      </c>
      <c r="G1" t="s">
        <v>28</v>
      </c>
      <c r="I1" t="s">
        <v>52</v>
      </c>
      <c r="K1" t="s">
        <v>42</v>
      </c>
      <c r="M1" t="s">
        <v>53</v>
      </c>
      <c r="O1" t="s">
        <v>72</v>
      </c>
      <c r="Q1" t="s">
        <v>63</v>
      </c>
    </row>
    <row r="2" spans="1:17" x14ac:dyDescent="0.3">
      <c r="A2" t="s">
        <v>19</v>
      </c>
      <c r="C2" t="s">
        <v>22</v>
      </c>
      <c r="E2" t="s">
        <v>26</v>
      </c>
      <c r="G2" t="s">
        <v>29</v>
      </c>
      <c r="I2" t="s">
        <v>38</v>
      </c>
      <c r="K2" t="s">
        <v>43</v>
      </c>
      <c r="M2" t="s">
        <v>54</v>
      </c>
      <c r="O2" t="s">
        <v>73</v>
      </c>
      <c r="Q2" t="s">
        <v>64</v>
      </c>
    </row>
    <row r="3" spans="1:17" x14ac:dyDescent="0.3">
      <c r="A3" t="s">
        <v>20</v>
      </c>
      <c r="C3" t="s">
        <v>23</v>
      </c>
      <c r="E3" t="s">
        <v>27</v>
      </c>
      <c r="G3" t="s">
        <v>30</v>
      </c>
      <c r="I3" t="s">
        <v>39</v>
      </c>
      <c r="K3" t="s">
        <v>22</v>
      </c>
      <c r="M3" t="s">
        <v>55</v>
      </c>
      <c r="O3" t="s">
        <v>74</v>
      </c>
      <c r="Q3" t="s">
        <v>65</v>
      </c>
    </row>
    <row r="4" spans="1:17" x14ac:dyDescent="0.3">
      <c r="A4" t="s">
        <v>37</v>
      </c>
      <c r="C4" t="s">
        <v>24</v>
      </c>
      <c r="E4" t="s">
        <v>37</v>
      </c>
      <c r="G4" t="s">
        <v>31</v>
      </c>
      <c r="I4" t="s">
        <v>40</v>
      </c>
      <c r="K4" t="s">
        <v>23</v>
      </c>
      <c r="M4" t="s">
        <v>56</v>
      </c>
      <c r="O4" t="s">
        <v>30</v>
      </c>
      <c r="Q4" t="s">
        <v>66</v>
      </c>
    </row>
    <row r="5" spans="1:17" x14ac:dyDescent="0.3">
      <c r="A5" t="s">
        <v>37</v>
      </c>
      <c r="C5" t="s">
        <v>37</v>
      </c>
      <c r="E5" t="s">
        <v>37</v>
      </c>
      <c r="G5" t="s">
        <v>37</v>
      </c>
      <c r="I5" t="s">
        <v>41</v>
      </c>
      <c r="K5" t="s">
        <v>24</v>
      </c>
      <c r="M5" t="s">
        <v>57</v>
      </c>
      <c r="O5" t="s">
        <v>37</v>
      </c>
      <c r="Q5" t="s">
        <v>67</v>
      </c>
    </row>
    <row r="6" spans="1:17" x14ac:dyDescent="0.3">
      <c r="A6" t="s">
        <v>37</v>
      </c>
      <c r="C6" t="s">
        <v>37</v>
      </c>
      <c r="E6" t="s">
        <v>37</v>
      </c>
      <c r="G6" t="s">
        <v>37</v>
      </c>
      <c r="I6" t="s">
        <v>37</v>
      </c>
      <c r="K6" t="s">
        <v>37</v>
      </c>
      <c r="M6" t="s">
        <v>58</v>
      </c>
      <c r="O6" t="s">
        <v>37</v>
      </c>
      <c r="Q6" t="s">
        <v>68</v>
      </c>
    </row>
    <row r="7" spans="1:17" x14ac:dyDescent="0.3">
      <c r="A7" t="s">
        <v>37</v>
      </c>
      <c r="C7" t="s">
        <v>37</v>
      </c>
      <c r="E7" t="s">
        <v>37</v>
      </c>
      <c r="G7" t="s">
        <v>37</v>
      </c>
      <c r="I7" t="s">
        <v>37</v>
      </c>
      <c r="K7" t="s">
        <v>37</v>
      </c>
      <c r="M7" t="s">
        <v>59</v>
      </c>
      <c r="O7" t="s">
        <v>37</v>
      </c>
      <c r="Q7" t="s">
        <v>62</v>
      </c>
    </row>
    <row r="8" spans="1:17" x14ac:dyDescent="0.3">
      <c r="A8" t="s">
        <v>37</v>
      </c>
      <c r="C8" t="s">
        <v>37</v>
      </c>
      <c r="E8" t="s">
        <v>37</v>
      </c>
      <c r="G8" t="s">
        <v>37</v>
      </c>
      <c r="I8" t="s">
        <v>37</v>
      </c>
      <c r="K8" t="s">
        <v>37</v>
      </c>
      <c r="M8" t="s">
        <v>60</v>
      </c>
      <c r="O8" t="s">
        <v>37</v>
      </c>
      <c r="Q8" t="s">
        <v>37</v>
      </c>
    </row>
    <row r="9" spans="1:17" x14ac:dyDescent="0.3">
      <c r="A9" t="s">
        <v>37</v>
      </c>
      <c r="C9" t="s">
        <v>37</v>
      </c>
      <c r="E9" t="s">
        <v>37</v>
      </c>
      <c r="G9" t="s">
        <v>37</v>
      </c>
      <c r="I9" t="s">
        <v>37</v>
      </c>
      <c r="K9" t="s">
        <v>37</v>
      </c>
      <c r="M9" t="s">
        <v>61</v>
      </c>
      <c r="O9" t="s">
        <v>37</v>
      </c>
      <c r="Q9" t="s">
        <v>37</v>
      </c>
    </row>
    <row r="10" spans="1:17" x14ac:dyDescent="0.3">
      <c r="A10" t="s">
        <v>37</v>
      </c>
      <c r="C10" t="s">
        <v>37</v>
      </c>
      <c r="E10" t="s">
        <v>37</v>
      </c>
      <c r="G10" t="s">
        <v>37</v>
      </c>
      <c r="I10" t="s">
        <v>37</v>
      </c>
      <c r="K10" t="s">
        <v>37</v>
      </c>
      <c r="M10" t="s">
        <v>62</v>
      </c>
      <c r="O10" t="s">
        <v>37</v>
      </c>
      <c r="Q10" t="s">
        <v>37</v>
      </c>
    </row>
    <row r="11" spans="1:17" x14ac:dyDescent="0.3">
      <c r="A11" t="s">
        <v>37</v>
      </c>
      <c r="C11" t="s">
        <v>37</v>
      </c>
      <c r="E11" t="s">
        <v>37</v>
      </c>
      <c r="G11" t="s">
        <v>37</v>
      </c>
      <c r="I11" t="s">
        <v>37</v>
      </c>
      <c r="K11" t="s">
        <v>37</v>
      </c>
      <c r="M11" t="s">
        <v>37</v>
      </c>
      <c r="O11" t="s">
        <v>37</v>
      </c>
      <c r="Q11" t="s">
        <v>37</v>
      </c>
    </row>
    <row r="12" spans="1:17" x14ac:dyDescent="0.3">
      <c r="A12" t="s">
        <v>37</v>
      </c>
      <c r="C12" t="s">
        <v>37</v>
      </c>
      <c r="E12" t="s">
        <v>37</v>
      </c>
      <c r="G12" t="s">
        <v>37</v>
      </c>
      <c r="I12" t="s">
        <v>37</v>
      </c>
      <c r="K12" t="s">
        <v>37</v>
      </c>
      <c r="M12" t="s">
        <v>37</v>
      </c>
      <c r="O12" t="s">
        <v>37</v>
      </c>
      <c r="Q12" t="s">
        <v>37</v>
      </c>
    </row>
    <row r="13" spans="1:17" x14ac:dyDescent="0.3">
      <c r="A13" t="s">
        <v>37</v>
      </c>
      <c r="C13" t="s">
        <v>37</v>
      </c>
      <c r="E13" t="s">
        <v>37</v>
      </c>
      <c r="G13" t="s">
        <v>37</v>
      </c>
      <c r="I13" t="s">
        <v>37</v>
      </c>
      <c r="K13" t="s">
        <v>37</v>
      </c>
      <c r="M13" t="s">
        <v>37</v>
      </c>
      <c r="O13" t="s">
        <v>37</v>
      </c>
      <c r="Q13" t="s">
        <v>37</v>
      </c>
    </row>
    <row r="14" spans="1:17" x14ac:dyDescent="0.3">
      <c r="A14" t="s">
        <v>37</v>
      </c>
      <c r="C14" t="s">
        <v>37</v>
      </c>
      <c r="E14" t="s">
        <v>37</v>
      </c>
      <c r="G14" t="s">
        <v>37</v>
      </c>
      <c r="I14" t="s">
        <v>37</v>
      </c>
      <c r="K14" t="s">
        <v>37</v>
      </c>
      <c r="M14" t="s">
        <v>37</v>
      </c>
      <c r="O14" t="s">
        <v>37</v>
      </c>
      <c r="Q14" t="s">
        <v>37</v>
      </c>
    </row>
    <row r="15" spans="1:17" x14ac:dyDescent="0.3">
      <c r="A15" t="s">
        <v>37</v>
      </c>
      <c r="C15" t="s">
        <v>37</v>
      </c>
      <c r="E15" t="s">
        <v>37</v>
      </c>
      <c r="G15" t="s">
        <v>37</v>
      </c>
      <c r="I15" t="s">
        <v>37</v>
      </c>
      <c r="K15" t="s">
        <v>37</v>
      </c>
      <c r="M15" t="s">
        <v>37</v>
      </c>
      <c r="O15" t="s">
        <v>37</v>
      </c>
      <c r="Q15" t="s">
        <v>37</v>
      </c>
    </row>
    <row r="16" spans="1:17" x14ac:dyDescent="0.3">
      <c r="A16" t="s">
        <v>37</v>
      </c>
      <c r="C16" t="s">
        <v>37</v>
      </c>
      <c r="E16" t="s">
        <v>37</v>
      </c>
      <c r="G16" t="s">
        <v>37</v>
      </c>
      <c r="I16" t="s">
        <v>37</v>
      </c>
      <c r="K16" t="s">
        <v>37</v>
      </c>
      <c r="M16" t="s">
        <v>37</v>
      </c>
      <c r="O16" t="s">
        <v>37</v>
      </c>
      <c r="Q16" t="s">
        <v>37</v>
      </c>
    </row>
    <row r="17" spans="1:17" x14ac:dyDescent="0.3">
      <c r="A17" t="s">
        <v>37</v>
      </c>
      <c r="C17" t="s">
        <v>37</v>
      </c>
      <c r="E17" t="s">
        <v>37</v>
      </c>
      <c r="G17" t="s">
        <v>37</v>
      </c>
      <c r="I17" t="s">
        <v>37</v>
      </c>
      <c r="K17" t="s">
        <v>37</v>
      </c>
      <c r="M17" t="s">
        <v>37</v>
      </c>
      <c r="O17" t="s">
        <v>37</v>
      </c>
      <c r="Q17" t="s">
        <v>37</v>
      </c>
    </row>
    <row r="18" spans="1:17" x14ac:dyDescent="0.3">
      <c r="A18" t="s">
        <v>37</v>
      </c>
      <c r="C18" t="s">
        <v>37</v>
      </c>
      <c r="E18" t="s">
        <v>37</v>
      </c>
      <c r="G18" t="s">
        <v>37</v>
      </c>
      <c r="I18" t="s">
        <v>37</v>
      </c>
      <c r="K18" t="s">
        <v>37</v>
      </c>
      <c r="M18" t="s">
        <v>37</v>
      </c>
      <c r="O18" t="s">
        <v>37</v>
      </c>
      <c r="Q18" t="s">
        <v>37</v>
      </c>
    </row>
    <row r="19" spans="1:17" x14ac:dyDescent="0.3">
      <c r="A19" t="s">
        <v>37</v>
      </c>
      <c r="C19" t="s">
        <v>37</v>
      </c>
      <c r="E19" t="s">
        <v>37</v>
      </c>
      <c r="G19" t="s">
        <v>37</v>
      </c>
      <c r="I19" t="s">
        <v>37</v>
      </c>
      <c r="K19" t="s">
        <v>37</v>
      </c>
      <c r="M19" t="s">
        <v>37</v>
      </c>
      <c r="O19" t="s">
        <v>37</v>
      </c>
      <c r="Q19" t="s">
        <v>37</v>
      </c>
    </row>
    <row r="20" spans="1:17" x14ac:dyDescent="0.3">
      <c r="A20" t="s">
        <v>37</v>
      </c>
      <c r="C20" t="s">
        <v>37</v>
      </c>
      <c r="E20" t="s">
        <v>37</v>
      </c>
      <c r="G20" t="s">
        <v>37</v>
      </c>
      <c r="I20" t="s">
        <v>37</v>
      </c>
      <c r="K20" t="s">
        <v>37</v>
      </c>
      <c r="M20" t="s">
        <v>37</v>
      </c>
      <c r="O20" t="s">
        <v>37</v>
      </c>
      <c r="Q20" t="s">
        <v>37</v>
      </c>
    </row>
    <row r="21" spans="1:17" x14ac:dyDescent="0.3">
      <c r="A21" t="s">
        <v>37</v>
      </c>
      <c r="C21" t="s">
        <v>37</v>
      </c>
      <c r="E21" t="s">
        <v>37</v>
      </c>
      <c r="G21" t="s">
        <v>37</v>
      </c>
      <c r="I21" t="s">
        <v>37</v>
      </c>
      <c r="K21" t="s">
        <v>37</v>
      </c>
      <c r="M21" t="s">
        <v>37</v>
      </c>
      <c r="O21" t="s">
        <v>37</v>
      </c>
      <c r="Q21" t="s">
        <v>37</v>
      </c>
    </row>
    <row r="22" spans="1:17" x14ac:dyDescent="0.3">
      <c r="A22" t="s">
        <v>37</v>
      </c>
      <c r="C22" t="s">
        <v>37</v>
      </c>
      <c r="E22" t="s">
        <v>37</v>
      </c>
      <c r="G22" t="s">
        <v>37</v>
      </c>
      <c r="I22" t="s">
        <v>37</v>
      </c>
      <c r="K22" t="s">
        <v>37</v>
      </c>
      <c r="M22" t="s">
        <v>37</v>
      </c>
      <c r="O22" t="s">
        <v>37</v>
      </c>
      <c r="Q22" t="s">
        <v>37</v>
      </c>
    </row>
    <row r="23" spans="1:17" x14ac:dyDescent="0.3">
      <c r="A23" t="s">
        <v>37</v>
      </c>
      <c r="C23" t="s">
        <v>37</v>
      </c>
      <c r="E23" t="s">
        <v>37</v>
      </c>
      <c r="G23" t="s">
        <v>37</v>
      </c>
      <c r="I23" t="s">
        <v>37</v>
      </c>
      <c r="K23" t="s">
        <v>37</v>
      </c>
      <c r="M23" t="s">
        <v>37</v>
      </c>
      <c r="O23" t="s">
        <v>37</v>
      </c>
      <c r="Q23" t="s">
        <v>37</v>
      </c>
    </row>
    <row r="24" spans="1:17" x14ac:dyDescent="0.3">
      <c r="A24" t="s">
        <v>37</v>
      </c>
      <c r="C24" t="s">
        <v>37</v>
      </c>
      <c r="E24" t="s">
        <v>37</v>
      </c>
      <c r="G24" t="s">
        <v>37</v>
      </c>
      <c r="I24" t="s">
        <v>37</v>
      </c>
      <c r="K24" t="s">
        <v>37</v>
      </c>
      <c r="M24" t="s">
        <v>37</v>
      </c>
      <c r="O24" t="s">
        <v>37</v>
      </c>
      <c r="Q24" t="s">
        <v>37</v>
      </c>
    </row>
    <row r="25" spans="1:17" x14ac:dyDescent="0.3">
      <c r="A25" t="s">
        <v>37</v>
      </c>
      <c r="C25" t="s">
        <v>37</v>
      </c>
      <c r="E25" t="s">
        <v>37</v>
      </c>
      <c r="G25" t="s">
        <v>37</v>
      </c>
      <c r="I25" t="s">
        <v>37</v>
      </c>
      <c r="K25" t="s">
        <v>37</v>
      </c>
      <c r="M25" t="s">
        <v>37</v>
      </c>
      <c r="O25" t="s">
        <v>37</v>
      </c>
      <c r="Q25" t="s">
        <v>37</v>
      </c>
    </row>
    <row r="26" spans="1:17" x14ac:dyDescent="0.3">
      <c r="A26" t="s">
        <v>37</v>
      </c>
      <c r="C26" t="s">
        <v>37</v>
      </c>
      <c r="E26" t="s">
        <v>37</v>
      </c>
      <c r="G26" t="s">
        <v>37</v>
      </c>
      <c r="I26" t="s">
        <v>37</v>
      </c>
      <c r="K26" t="s">
        <v>37</v>
      </c>
      <c r="M26" t="s">
        <v>37</v>
      </c>
      <c r="O26" t="s">
        <v>37</v>
      </c>
      <c r="Q26" t="s">
        <v>37</v>
      </c>
    </row>
    <row r="27" spans="1:17" x14ac:dyDescent="0.3">
      <c r="A27" t="s">
        <v>37</v>
      </c>
      <c r="C27" t="s">
        <v>37</v>
      </c>
      <c r="E27" t="s">
        <v>37</v>
      </c>
      <c r="G27" t="s">
        <v>37</v>
      </c>
      <c r="I27" t="s">
        <v>37</v>
      </c>
      <c r="K27" t="s">
        <v>37</v>
      </c>
      <c r="M27" t="s">
        <v>37</v>
      </c>
      <c r="O27" t="s">
        <v>37</v>
      </c>
      <c r="Q27" t="s">
        <v>37</v>
      </c>
    </row>
    <row r="28" spans="1:17" x14ac:dyDescent="0.3">
      <c r="A28" t="s">
        <v>37</v>
      </c>
      <c r="C28" t="s">
        <v>37</v>
      </c>
      <c r="E28" t="s">
        <v>37</v>
      </c>
      <c r="G28" t="s">
        <v>37</v>
      </c>
      <c r="I28" t="s">
        <v>37</v>
      </c>
      <c r="K28" t="s">
        <v>37</v>
      </c>
      <c r="M28" t="s">
        <v>37</v>
      </c>
      <c r="O28" t="s">
        <v>37</v>
      </c>
      <c r="Q28" t="s">
        <v>37</v>
      </c>
    </row>
    <row r="29" spans="1:17" x14ac:dyDescent="0.3">
      <c r="A29" t="s">
        <v>37</v>
      </c>
      <c r="C29" t="s">
        <v>37</v>
      </c>
      <c r="E29" t="s">
        <v>37</v>
      </c>
      <c r="G29" t="s">
        <v>37</v>
      </c>
      <c r="I29" t="s">
        <v>37</v>
      </c>
      <c r="K29" t="s">
        <v>37</v>
      </c>
      <c r="M29" t="s">
        <v>37</v>
      </c>
      <c r="O29" t="s">
        <v>37</v>
      </c>
      <c r="Q29" t="s">
        <v>37</v>
      </c>
    </row>
    <row r="30" spans="1:17" x14ac:dyDescent="0.3">
      <c r="A30" t="s">
        <v>37</v>
      </c>
      <c r="C30" t="s">
        <v>37</v>
      </c>
      <c r="E30" t="s">
        <v>37</v>
      </c>
      <c r="G30" t="s">
        <v>37</v>
      </c>
      <c r="I30" t="s">
        <v>37</v>
      </c>
      <c r="K30" t="s">
        <v>37</v>
      </c>
      <c r="M30" t="s">
        <v>37</v>
      </c>
      <c r="O30" t="s">
        <v>37</v>
      </c>
      <c r="Q30" t="s">
        <v>37</v>
      </c>
    </row>
    <row r="31" spans="1:17" x14ac:dyDescent="0.3">
      <c r="A31" t="s">
        <v>37</v>
      </c>
      <c r="C31" t="s">
        <v>37</v>
      </c>
      <c r="E31" t="s">
        <v>37</v>
      </c>
      <c r="G31" t="s">
        <v>37</v>
      </c>
      <c r="I31" t="s">
        <v>37</v>
      </c>
      <c r="K31" t="s">
        <v>37</v>
      </c>
      <c r="M31" t="s">
        <v>37</v>
      </c>
      <c r="O31" t="s">
        <v>37</v>
      </c>
      <c r="Q31" t="s">
        <v>37</v>
      </c>
    </row>
    <row r="32" spans="1:17" x14ac:dyDescent="0.3">
      <c r="A32" t="s">
        <v>37</v>
      </c>
      <c r="C32" t="s">
        <v>37</v>
      </c>
      <c r="E32" t="s">
        <v>37</v>
      </c>
      <c r="G32" t="s">
        <v>37</v>
      </c>
      <c r="I32" t="s">
        <v>37</v>
      </c>
      <c r="K32" t="s">
        <v>37</v>
      </c>
      <c r="M32" t="s">
        <v>37</v>
      </c>
      <c r="O32" t="s">
        <v>37</v>
      </c>
      <c r="Q32" t="s">
        <v>37</v>
      </c>
    </row>
    <row r="33" spans="1:17" x14ac:dyDescent="0.3">
      <c r="A33" t="s">
        <v>37</v>
      </c>
      <c r="C33" t="s">
        <v>37</v>
      </c>
      <c r="E33" t="s">
        <v>37</v>
      </c>
      <c r="G33" t="s">
        <v>37</v>
      </c>
      <c r="I33" t="s">
        <v>37</v>
      </c>
      <c r="K33" t="s">
        <v>37</v>
      </c>
      <c r="M33" t="s">
        <v>37</v>
      </c>
      <c r="O33" t="s">
        <v>37</v>
      </c>
      <c r="Q33" t="s">
        <v>37</v>
      </c>
    </row>
    <row r="34" spans="1:17" x14ac:dyDescent="0.3">
      <c r="A34" t="s">
        <v>37</v>
      </c>
      <c r="C34" t="s">
        <v>37</v>
      </c>
      <c r="E34" t="s">
        <v>37</v>
      </c>
      <c r="G34" t="s">
        <v>37</v>
      </c>
      <c r="I34" t="s">
        <v>37</v>
      </c>
      <c r="K34" t="s">
        <v>37</v>
      </c>
      <c r="M34" t="s">
        <v>37</v>
      </c>
      <c r="O34" t="s">
        <v>37</v>
      </c>
      <c r="Q34" t="s">
        <v>37</v>
      </c>
    </row>
    <row r="35" spans="1:17" x14ac:dyDescent="0.3">
      <c r="A35" t="s">
        <v>37</v>
      </c>
      <c r="C35" t="s">
        <v>37</v>
      </c>
      <c r="E35" t="s">
        <v>37</v>
      </c>
      <c r="G35" t="s">
        <v>37</v>
      </c>
      <c r="I35" t="s">
        <v>37</v>
      </c>
      <c r="K35" t="s">
        <v>37</v>
      </c>
      <c r="M35" t="s">
        <v>37</v>
      </c>
      <c r="O35" t="s">
        <v>37</v>
      </c>
      <c r="Q35" t="s">
        <v>37</v>
      </c>
    </row>
    <row r="36" spans="1:17" x14ac:dyDescent="0.3">
      <c r="A36" t="s">
        <v>37</v>
      </c>
      <c r="C36" t="s">
        <v>37</v>
      </c>
      <c r="E36" t="s">
        <v>37</v>
      </c>
      <c r="G36" t="s">
        <v>37</v>
      </c>
      <c r="I36" t="s">
        <v>37</v>
      </c>
      <c r="K36" t="s">
        <v>37</v>
      </c>
      <c r="M36" t="s">
        <v>37</v>
      </c>
      <c r="O36" t="s">
        <v>37</v>
      </c>
      <c r="Q36" t="s">
        <v>37</v>
      </c>
    </row>
    <row r="37" spans="1:17" x14ac:dyDescent="0.3">
      <c r="A37" t="s">
        <v>37</v>
      </c>
      <c r="C37" t="s">
        <v>37</v>
      </c>
      <c r="E37" t="s">
        <v>37</v>
      </c>
      <c r="G37" t="s">
        <v>37</v>
      </c>
      <c r="I37" t="s">
        <v>37</v>
      </c>
      <c r="K37" t="s">
        <v>37</v>
      </c>
      <c r="M37" t="s">
        <v>37</v>
      </c>
      <c r="O37" t="s">
        <v>37</v>
      </c>
      <c r="Q37" t="s">
        <v>37</v>
      </c>
    </row>
    <row r="38" spans="1:17" x14ac:dyDescent="0.3">
      <c r="A38" t="s">
        <v>37</v>
      </c>
      <c r="C38" t="s">
        <v>37</v>
      </c>
      <c r="E38" t="s">
        <v>37</v>
      </c>
      <c r="G38" t="s">
        <v>37</v>
      </c>
      <c r="I38" t="s">
        <v>37</v>
      </c>
      <c r="K38" t="s">
        <v>37</v>
      </c>
      <c r="M38" t="s">
        <v>37</v>
      </c>
      <c r="O38" t="s">
        <v>37</v>
      </c>
      <c r="Q38" t="s">
        <v>37</v>
      </c>
    </row>
    <row r="39" spans="1:17" x14ac:dyDescent="0.3">
      <c r="A39" t="s">
        <v>37</v>
      </c>
      <c r="C39" t="s">
        <v>37</v>
      </c>
      <c r="E39" t="s">
        <v>37</v>
      </c>
      <c r="G39" t="s">
        <v>37</v>
      </c>
      <c r="I39" t="s">
        <v>37</v>
      </c>
      <c r="K39" t="s">
        <v>37</v>
      </c>
      <c r="M39" t="s">
        <v>37</v>
      </c>
      <c r="O39" t="s">
        <v>37</v>
      </c>
      <c r="Q39" t="s">
        <v>37</v>
      </c>
    </row>
    <row r="40" spans="1:17" x14ac:dyDescent="0.3">
      <c r="A40" t="s">
        <v>37</v>
      </c>
      <c r="C40" t="s">
        <v>37</v>
      </c>
      <c r="E40" t="s">
        <v>37</v>
      </c>
      <c r="G40" t="s">
        <v>37</v>
      </c>
      <c r="I40" t="s">
        <v>37</v>
      </c>
      <c r="K40" t="s">
        <v>37</v>
      </c>
      <c r="M40" t="s">
        <v>37</v>
      </c>
      <c r="O40" t="s">
        <v>37</v>
      </c>
      <c r="Q40" t="s">
        <v>37</v>
      </c>
    </row>
    <row r="41" spans="1:17" x14ac:dyDescent="0.3">
      <c r="A41" t="s">
        <v>37</v>
      </c>
      <c r="C41" t="s">
        <v>37</v>
      </c>
      <c r="E41" t="s">
        <v>37</v>
      </c>
      <c r="G41" t="s">
        <v>37</v>
      </c>
      <c r="I41" t="s">
        <v>37</v>
      </c>
      <c r="K41" t="s">
        <v>37</v>
      </c>
      <c r="M41" t="s">
        <v>37</v>
      </c>
      <c r="O41" t="s">
        <v>37</v>
      </c>
      <c r="Q41" t="s">
        <v>37</v>
      </c>
    </row>
    <row r="42" spans="1:17" x14ac:dyDescent="0.3">
      <c r="A42" t="s">
        <v>37</v>
      </c>
      <c r="C42" t="s">
        <v>37</v>
      </c>
      <c r="E42" t="s">
        <v>37</v>
      </c>
      <c r="G42" t="s">
        <v>37</v>
      </c>
      <c r="I42" t="s">
        <v>37</v>
      </c>
      <c r="K42" t="s">
        <v>37</v>
      </c>
      <c r="M42" t="s">
        <v>37</v>
      </c>
      <c r="O42" t="s">
        <v>37</v>
      </c>
      <c r="Q42" t="s">
        <v>37</v>
      </c>
    </row>
    <row r="43" spans="1:17" x14ac:dyDescent="0.3">
      <c r="A43" t="s">
        <v>37</v>
      </c>
      <c r="C43" t="s">
        <v>37</v>
      </c>
      <c r="E43" t="s">
        <v>37</v>
      </c>
      <c r="G43" t="s">
        <v>37</v>
      </c>
      <c r="I43" t="s">
        <v>37</v>
      </c>
      <c r="K43" t="s">
        <v>37</v>
      </c>
      <c r="M43" t="s">
        <v>37</v>
      </c>
      <c r="O43" t="s">
        <v>37</v>
      </c>
      <c r="Q43" t="s">
        <v>37</v>
      </c>
    </row>
    <row r="44" spans="1:17" x14ac:dyDescent="0.3">
      <c r="A44" t="s">
        <v>37</v>
      </c>
      <c r="C44" t="s">
        <v>37</v>
      </c>
      <c r="E44" t="s">
        <v>37</v>
      </c>
      <c r="G44" t="s">
        <v>37</v>
      </c>
      <c r="I44" t="s">
        <v>37</v>
      </c>
      <c r="K44" t="s">
        <v>37</v>
      </c>
      <c r="M44" t="s">
        <v>37</v>
      </c>
      <c r="O44" t="s">
        <v>37</v>
      </c>
      <c r="Q44" t="s">
        <v>37</v>
      </c>
    </row>
    <row r="45" spans="1:17" x14ac:dyDescent="0.3">
      <c r="A45" t="s">
        <v>37</v>
      </c>
      <c r="C45" t="s">
        <v>37</v>
      </c>
      <c r="E45" t="s">
        <v>37</v>
      </c>
      <c r="G45" t="s">
        <v>37</v>
      </c>
      <c r="I45" t="s">
        <v>37</v>
      </c>
      <c r="K45" t="s">
        <v>37</v>
      </c>
      <c r="M45" t="s">
        <v>37</v>
      </c>
      <c r="O45" t="s">
        <v>37</v>
      </c>
      <c r="Q45" t="s">
        <v>37</v>
      </c>
    </row>
    <row r="46" spans="1:17" x14ac:dyDescent="0.3">
      <c r="A46" t="s">
        <v>37</v>
      </c>
      <c r="C46" t="s">
        <v>37</v>
      </c>
      <c r="E46" t="s">
        <v>37</v>
      </c>
      <c r="G46" t="s">
        <v>37</v>
      </c>
      <c r="I46" t="s">
        <v>37</v>
      </c>
      <c r="K46" t="s">
        <v>37</v>
      </c>
      <c r="M46" t="s">
        <v>37</v>
      </c>
      <c r="O46" t="s">
        <v>37</v>
      </c>
      <c r="Q46" t="s">
        <v>37</v>
      </c>
    </row>
    <row r="47" spans="1:17" x14ac:dyDescent="0.3">
      <c r="A47" t="s">
        <v>37</v>
      </c>
      <c r="C47" t="s">
        <v>37</v>
      </c>
      <c r="E47" t="s">
        <v>37</v>
      </c>
      <c r="G47" t="s">
        <v>37</v>
      </c>
      <c r="I47" t="s">
        <v>37</v>
      </c>
      <c r="K47" t="s">
        <v>37</v>
      </c>
      <c r="M47" t="s">
        <v>37</v>
      </c>
      <c r="O47" t="s">
        <v>37</v>
      </c>
      <c r="Q47" t="s">
        <v>37</v>
      </c>
    </row>
    <row r="48" spans="1:17" x14ac:dyDescent="0.3">
      <c r="A48" t="s">
        <v>37</v>
      </c>
      <c r="C48" t="s">
        <v>37</v>
      </c>
      <c r="E48" t="s">
        <v>37</v>
      </c>
      <c r="G48" t="s">
        <v>37</v>
      </c>
      <c r="I48" t="s">
        <v>37</v>
      </c>
      <c r="K48" t="s">
        <v>37</v>
      </c>
      <c r="M48" t="s">
        <v>37</v>
      </c>
      <c r="O48" t="s">
        <v>37</v>
      </c>
      <c r="Q48" t="s">
        <v>37</v>
      </c>
    </row>
    <row r="49" spans="1:17" x14ac:dyDescent="0.3">
      <c r="A49" t="s">
        <v>37</v>
      </c>
      <c r="C49" t="s">
        <v>37</v>
      </c>
      <c r="E49" t="s">
        <v>37</v>
      </c>
      <c r="G49" t="s">
        <v>37</v>
      </c>
      <c r="I49" t="s">
        <v>37</v>
      </c>
      <c r="K49" t="s">
        <v>37</v>
      </c>
      <c r="M49" t="s">
        <v>37</v>
      </c>
      <c r="O49" t="s">
        <v>37</v>
      </c>
      <c r="Q49" t="s">
        <v>37</v>
      </c>
    </row>
    <row r="50" spans="1:17" x14ac:dyDescent="0.3">
      <c r="A50" t="s">
        <v>37</v>
      </c>
      <c r="C50" t="s">
        <v>37</v>
      </c>
      <c r="E50" t="s">
        <v>37</v>
      </c>
      <c r="G50" t="s">
        <v>37</v>
      </c>
      <c r="I50" t="s">
        <v>37</v>
      </c>
      <c r="K50" t="s">
        <v>37</v>
      </c>
      <c r="M50" t="s">
        <v>37</v>
      </c>
      <c r="O50" t="s">
        <v>37</v>
      </c>
      <c r="Q50" t="s">
        <v>37</v>
      </c>
    </row>
    <row r="51" spans="1:17" x14ac:dyDescent="0.3">
      <c r="A51" t="s">
        <v>37</v>
      </c>
      <c r="C51" t="s">
        <v>37</v>
      </c>
      <c r="E51" t="s">
        <v>37</v>
      </c>
      <c r="G51" t="s">
        <v>37</v>
      </c>
      <c r="I51" t="s">
        <v>37</v>
      </c>
      <c r="K51" t="s">
        <v>37</v>
      </c>
      <c r="M51" t="s">
        <v>37</v>
      </c>
      <c r="O51" t="s">
        <v>37</v>
      </c>
      <c r="Q51" t="s">
        <v>37</v>
      </c>
    </row>
    <row r="52" spans="1:17" x14ac:dyDescent="0.3">
      <c r="A52" t="s">
        <v>37</v>
      </c>
      <c r="C52" t="s">
        <v>37</v>
      </c>
      <c r="E52" t="s">
        <v>37</v>
      </c>
      <c r="G52" t="s">
        <v>37</v>
      </c>
      <c r="I52" t="s">
        <v>37</v>
      </c>
      <c r="K52" t="s">
        <v>37</v>
      </c>
      <c r="M52" t="s">
        <v>37</v>
      </c>
      <c r="O52" t="s">
        <v>37</v>
      </c>
      <c r="Q52" t="s">
        <v>37</v>
      </c>
    </row>
    <row r="53" spans="1:17" x14ac:dyDescent="0.3">
      <c r="A53" t="s">
        <v>37</v>
      </c>
      <c r="C53" t="s">
        <v>37</v>
      </c>
      <c r="E53" t="s">
        <v>37</v>
      </c>
      <c r="G53" t="s">
        <v>37</v>
      </c>
      <c r="I53" t="s">
        <v>37</v>
      </c>
      <c r="K53" t="s">
        <v>37</v>
      </c>
      <c r="M53" t="s">
        <v>37</v>
      </c>
      <c r="O53" t="s">
        <v>37</v>
      </c>
      <c r="Q53" t="s">
        <v>37</v>
      </c>
    </row>
    <row r="54" spans="1:17" x14ac:dyDescent="0.3">
      <c r="A54" t="s">
        <v>37</v>
      </c>
      <c r="C54" t="s">
        <v>37</v>
      </c>
      <c r="E54" t="s">
        <v>37</v>
      </c>
      <c r="G54" t="s">
        <v>37</v>
      </c>
      <c r="I54" t="s">
        <v>37</v>
      </c>
      <c r="K54" t="s">
        <v>37</v>
      </c>
      <c r="M54" t="s">
        <v>37</v>
      </c>
      <c r="O54" t="s">
        <v>37</v>
      </c>
      <c r="Q54" t="s">
        <v>37</v>
      </c>
    </row>
    <row r="55" spans="1:17" x14ac:dyDescent="0.3">
      <c r="A55" t="s">
        <v>37</v>
      </c>
      <c r="C55" t="s">
        <v>37</v>
      </c>
      <c r="E55" t="s">
        <v>37</v>
      </c>
      <c r="G55" t="s">
        <v>37</v>
      </c>
      <c r="I55" t="s">
        <v>37</v>
      </c>
      <c r="K55" t="s">
        <v>37</v>
      </c>
      <c r="M55" t="s">
        <v>37</v>
      </c>
      <c r="O55" t="s">
        <v>37</v>
      </c>
      <c r="Q55" t="s">
        <v>37</v>
      </c>
    </row>
    <row r="56" spans="1:17" x14ac:dyDescent="0.3">
      <c r="A56" t="s">
        <v>37</v>
      </c>
      <c r="C56" t="s">
        <v>37</v>
      </c>
      <c r="E56" t="s">
        <v>37</v>
      </c>
      <c r="G56" t="s">
        <v>37</v>
      </c>
      <c r="I56" t="s">
        <v>37</v>
      </c>
      <c r="K56" t="s">
        <v>37</v>
      </c>
      <c r="M56" t="s">
        <v>37</v>
      </c>
      <c r="O56" t="s">
        <v>37</v>
      </c>
      <c r="Q56" t="s">
        <v>37</v>
      </c>
    </row>
    <row r="57" spans="1:17" x14ac:dyDescent="0.3">
      <c r="A57" t="s">
        <v>37</v>
      </c>
      <c r="C57" t="s">
        <v>37</v>
      </c>
      <c r="E57" t="s">
        <v>37</v>
      </c>
      <c r="G57" t="s">
        <v>37</v>
      </c>
      <c r="I57" t="s">
        <v>37</v>
      </c>
      <c r="K57" t="s">
        <v>37</v>
      </c>
      <c r="M57" t="s">
        <v>37</v>
      </c>
      <c r="O57" t="s">
        <v>37</v>
      </c>
      <c r="Q57" t="s">
        <v>37</v>
      </c>
    </row>
    <row r="58" spans="1:17" x14ac:dyDescent="0.3">
      <c r="A58" t="s">
        <v>37</v>
      </c>
      <c r="C58" t="s">
        <v>37</v>
      </c>
      <c r="E58" t="s">
        <v>37</v>
      </c>
      <c r="G58" t="s">
        <v>37</v>
      </c>
      <c r="I58" t="s">
        <v>37</v>
      </c>
      <c r="K58" t="s">
        <v>37</v>
      </c>
      <c r="M58" t="s">
        <v>37</v>
      </c>
      <c r="O58" t="s">
        <v>37</v>
      </c>
      <c r="Q58" t="s">
        <v>37</v>
      </c>
    </row>
    <row r="59" spans="1:17" x14ac:dyDescent="0.3">
      <c r="A59" t="s">
        <v>37</v>
      </c>
      <c r="C59" t="s">
        <v>37</v>
      </c>
      <c r="E59" t="s">
        <v>37</v>
      </c>
      <c r="G59" t="s">
        <v>37</v>
      </c>
      <c r="I59" t="s">
        <v>37</v>
      </c>
      <c r="K59" t="s">
        <v>37</v>
      </c>
      <c r="M59" t="s">
        <v>37</v>
      </c>
      <c r="O59" t="s">
        <v>37</v>
      </c>
      <c r="Q59" t="s">
        <v>37</v>
      </c>
    </row>
    <row r="60" spans="1:17" x14ac:dyDescent="0.3">
      <c r="A60" t="s">
        <v>37</v>
      </c>
      <c r="C60" t="s">
        <v>37</v>
      </c>
      <c r="E60" t="s">
        <v>37</v>
      </c>
      <c r="G60" t="s">
        <v>37</v>
      </c>
      <c r="I60" t="s">
        <v>37</v>
      </c>
      <c r="K60" t="s">
        <v>37</v>
      </c>
      <c r="M60" t="s">
        <v>37</v>
      </c>
      <c r="O60" t="s">
        <v>37</v>
      </c>
      <c r="Q60" t="s">
        <v>37</v>
      </c>
    </row>
    <row r="61" spans="1:17" x14ac:dyDescent="0.3">
      <c r="A61" t="s">
        <v>37</v>
      </c>
      <c r="C61" t="s">
        <v>37</v>
      </c>
      <c r="E61" t="s">
        <v>37</v>
      </c>
      <c r="G61" t="s">
        <v>37</v>
      </c>
      <c r="I61" t="s">
        <v>37</v>
      </c>
      <c r="K61" t="s">
        <v>37</v>
      </c>
      <c r="M61" t="s">
        <v>37</v>
      </c>
      <c r="O61" t="s">
        <v>37</v>
      </c>
      <c r="Q61" t="s">
        <v>37</v>
      </c>
    </row>
    <row r="62" spans="1:17" x14ac:dyDescent="0.3">
      <c r="A62" t="s">
        <v>37</v>
      </c>
      <c r="C62" t="s">
        <v>37</v>
      </c>
      <c r="E62" t="s">
        <v>37</v>
      </c>
      <c r="G62" t="s">
        <v>37</v>
      </c>
      <c r="I62" t="s">
        <v>37</v>
      </c>
      <c r="K62" t="s">
        <v>37</v>
      </c>
      <c r="M62" t="s">
        <v>37</v>
      </c>
      <c r="O62" t="s">
        <v>37</v>
      </c>
      <c r="Q62" t="s">
        <v>37</v>
      </c>
    </row>
    <row r="63" spans="1:17" x14ac:dyDescent="0.3">
      <c r="A63" t="s">
        <v>37</v>
      </c>
      <c r="C63" t="s">
        <v>37</v>
      </c>
      <c r="E63" t="s">
        <v>37</v>
      </c>
      <c r="G63" t="s">
        <v>37</v>
      </c>
      <c r="I63" t="s">
        <v>37</v>
      </c>
      <c r="K63" t="s">
        <v>37</v>
      </c>
      <c r="M63" t="s">
        <v>37</v>
      </c>
      <c r="O63" t="s">
        <v>37</v>
      </c>
      <c r="Q63" t="s">
        <v>37</v>
      </c>
    </row>
    <row r="64" spans="1:17" x14ac:dyDescent="0.3">
      <c r="A64" t="s">
        <v>37</v>
      </c>
      <c r="C64" t="s">
        <v>37</v>
      </c>
      <c r="E64" t="s">
        <v>37</v>
      </c>
      <c r="G64" t="s">
        <v>37</v>
      </c>
      <c r="I64" t="s">
        <v>37</v>
      </c>
      <c r="K64" t="s">
        <v>37</v>
      </c>
      <c r="M64" t="s">
        <v>37</v>
      </c>
      <c r="O64" t="s">
        <v>37</v>
      </c>
      <c r="Q64" t="s">
        <v>37</v>
      </c>
    </row>
    <row r="65" spans="1:17" x14ac:dyDescent="0.3">
      <c r="A65" t="s">
        <v>37</v>
      </c>
      <c r="C65" t="s">
        <v>37</v>
      </c>
      <c r="E65" t="s">
        <v>37</v>
      </c>
      <c r="G65" t="s">
        <v>37</v>
      </c>
      <c r="I65" t="s">
        <v>37</v>
      </c>
      <c r="K65" t="s">
        <v>37</v>
      </c>
      <c r="M65" t="s">
        <v>37</v>
      </c>
      <c r="O65" t="s">
        <v>37</v>
      </c>
      <c r="Q65" t="s">
        <v>37</v>
      </c>
    </row>
    <row r="66" spans="1:17" x14ac:dyDescent="0.3">
      <c r="A66" t="s">
        <v>37</v>
      </c>
      <c r="C66" t="s">
        <v>37</v>
      </c>
      <c r="E66" t="s">
        <v>37</v>
      </c>
      <c r="G66" t="s">
        <v>37</v>
      </c>
      <c r="I66" t="s">
        <v>37</v>
      </c>
      <c r="K66" t="s">
        <v>37</v>
      </c>
      <c r="M66" t="s">
        <v>37</v>
      </c>
      <c r="O66" t="s">
        <v>37</v>
      </c>
      <c r="Q66" t="s">
        <v>37</v>
      </c>
    </row>
    <row r="67" spans="1:17" x14ac:dyDescent="0.3">
      <c r="A67" t="s">
        <v>37</v>
      </c>
      <c r="C67" t="s">
        <v>37</v>
      </c>
      <c r="E67" t="s">
        <v>37</v>
      </c>
      <c r="G67" t="s">
        <v>37</v>
      </c>
      <c r="I67" t="s">
        <v>37</v>
      </c>
      <c r="K67" t="s">
        <v>37</v>
      </c>
      <c r="M67" t="s">
        <v>37</v>
      </c>
      <c r="O67" t="s">
        <v>37</v>
      </c>
      <c r="Q67" t="s">
        <v>37</v>
      </c>
    </row>
    <row r="68" spans="1:17" x14ac:dyDescent="0.3">
      <c r="A68" t="s">
        <v>37</v>
      </c>
      <c r="C68" t="s">
        <v>37</v>
      </c>
      <c r="E68" t="s">
        <v>37</v>
      </c>
      <c r="G68" t="s">
        <v>37</v>
      </c>
      <c r="I68" t="s">
        <v>37</v>
      </c>
      <c r="K68" t="s">
        <v>37</v>
      </c>
      <c r="M68" t="s">
        <v>37</v>
      </c>
      <c r="O68" t="s">
        <v>37</v>
      </c>
      <c r="Q68" t="s">
        <v>37</v>
      </c>
    </row>
    <row r="69" spans="1:17" x14ac:dyDescent="0.3">
      <c r="A69" t="s">
        <v>37</v>
      </c>
      <c r="C69" t="s">
        <v>37</v>
      </c>
      <c r="E69" t="s">
        <v>37</v>
      </c>
      <c r="G69" t="s">
        <v>37</v>
      </c>
      <c r="I69" t="s">
        <v>37</v>
      </c>
      <c r="K69" t="s">
        <v>37</v>
      </c>
      <c r="M69" t="s">
        <v>37</v>
      </c>
      <c r="O69" t="s">
        <v>37</v>
      </c>
      <c r="Q69" t="s">
        <v>37</v>
      </c>
    </row>
    <row r="70" spans="1:17" x14ac:dyDescent="0.3">
      <c r="A70" t="s">
        <v>37</v>
      </c>
      <c r="C70" t="s">
        <v>37</v>
      </c>
      <c r="E70" t="s">
        <v>37</v>
      </c>
      <c r="G70" t="s">
        <v>37</v>
      </c>
      <c r="I70" t="s">
        <v>37</v>
      </c>
      <c r="K70" t="s">
        <v>37</v>
      </c>
      <c r="M70" t="s">
        <v>37</v>
      </c>
      <c r="O70" t="s">
        <v>37</v>
      </c>
      <c r="Q70" t="s">
        <v>37</v>
      </c>
    </row>
    <row r="71" spans="1:17" x14ac:dyDescent="0.3">
      <c r="A71" t="s">
        <v>37</v>
      </c>
      <c r="C71" t="s">
        <v>37</v>
      </c>
      <c r="E71" t="s">
        <v>37</v>
      </c>
      <c r="G71" t="s">
        <v>37</v>
      </c>
      <c r="I71" t="s">
        <v>37</v>
      </c>
      <c r="K71" t="s">
        <v>37</v>
      </c>
      <c r="M71" t="s">
        <v>37</v>
      </c>
      <c r="O71" t="s">
        <v>37</v>
      </c>
      <c r="Q71" t="s">
        <v>37</v>
      </c>
    </row>
    <row r="72" spans="1:17" x14ac:dyDescent="0.3">
      <c r="A72" t="s">
        <v>37</v>
      </c>
      <c r="C72" t="s">
        <v>37</v>
      </c>
      <c r="E72" t="s">
        <v>37</v>
      </c>
      <c r="G72" t="s">
        <v>37</v>
      </c>
      <c r="I72" t="s">
        <v>37</v>
      </c>
      <c r="K72" t="s">
        <v>37</v>
      </c>
      <c r="M72" t="s">
        <v>37</v>
      </c>
      <c r="O72" t="s">
        <v>37</v>
      </c>
      <c r="Q72" t="s">
        <v>37</v>
      </c>
    </row>
    <row r="73" spans="1:17" x14ac:dyDescent="0.3">
      <c r="A73" t="s">
        <v>37</v>
      </c>
      <c r="C73" t="s">
        <v>37</v>
      </c>
      <c r="E73" t="s">
        <v>37</v>
      </c>
      <c r="G73" t="s">
        <v>37</v>
      </c>
      <c r="I73" t="s">
        <v>37</v>
      </c>
      <c r="K73" t="s">
        <v>37</v>
      </c>
      <c r="M73" t="s">
        <v>37</v>
      </c>
      <c r="O73" t="s">
        <v>37</v>
      </c>
      <c r="Q73" t="s">
        <v>37</v>
      </c>
    </row>
    <row r="74" spans="1:17" x14ac:dyDescent="0.3">
      <c r="A74" t="s">
        <v>37</v>
      </c>
      <c r="C74" t="s">
        <v>37</v>
      </c>
      <c r="E74" t="s">
        <v>37</v>
      </c>
      <c r="G74" t="s">
        <v>37</v>
      </c>
      <c r="I74" t="s">
        <v>37</v>
      </c>
      <c r="K74" t="s">
        <v>37</v>
      </c>
      <c r="M74" t="s">
        <v>37</v>
      </c>
      <c r="O74" t="s">
        <v>37</v>
      </c>
      <c r="Q74" t="s">
        <v>37</v>
      </c>
    </row>
    <row r="75" spans="1:17" x14ac:dyDescent="0.3">
      <c r="A75" t="s">
        <v>37</v>
      </c>
      <c r="C75" t="s">
        <v>37</v>
      </c>
      <c r="E75" t="s">
        <v>37</v>
      </c>
      <c r="G75" t="s">
        <v>37</v>
      </c>
      <c r="I75" t="s">
        <v>37</v>
      </c>
      <c r="K75" t="s">
        <v>37</v>
      </c>
      <c r="M75" t="s">
        <v>37</v>
      </c>
      <c r="O75" t="s">
        <v>37</v>
      </c>
      <c r="Q75" t="s">
        <v>37</v>
      </c>
    </row>
    <row r="76" spans="1:17" x14ac:dyDescent="0.3">
      <c r="A76" t="s">
        <v>37</v>
      </c>
      <c r="C76" t="s">
        <v>37</v>
      </c>
      <c r="E76" t="s">
        <v>37</v>
      </c>
      <c r="G76" t="s">
        <v>37</v>
      </c>
      <c r="I76" t="s">
        <v>37</v>
      </c>
      <c r="K76" t="s">
        <v>37</v>
      </c>
      <c r="M76" t="s">
        <v>37</v>
      </c>
      <c r="O76" t="s">
        <v>37</v>
      </c>
      <c r="Q76" t="s">
        <v>37</v>
      </c>
    </row>
    <row r="77" spans="1:17" x14ac:dyDescent="0.3">
      <c r="A77" t="s">
        <v>37</v>
      </c>
      <c r="C77" t="s">
        <v>37</v>
      </c>
      <c r="E77" t="s">
        <v>37</v>
      </c>
      <c r="G77" t="s">
        <v>37</v>
      </c>
      <c r="I77" t="s">
        <v>37</v>
      </c>
      <c r="K77" t="s">
        <v>37</v>
      </c>
      <c r="M77" t="s">
        <v>37</v>
      </c>
      <c r="O77" t="s">
        <v>37</v>
      </c>
      <c r="Q77" t="s">
        <v>37</v>
      </c>
    </row>
    <row r="78" spans="1:17" x14ac:dyDescent="0.3">
      <c r="A78" t="s">
        <v>37</v>
      </c>
      <c r="C78" t="s">
        <v>37</v>
      </c>
      <c r="E78" t="s">
        <v>37</v>
      </c>
      <c r="G78" t="s">
        <v>37</v>
      </c>
      <c r="I78" t="s">
        <v>37</v>
      </c>
      <c r="K78" t="s">
        <v>37</v>
      </c>
      <c r="M78" t="s">
        <v>37</v>
      </c>
      <c r="O78" t="s">
        <v>37</v>
      </c>
      <c r="Q78" t="s">
        <v>37</v>
      </c>
    </row>
    <row r="79" spans="1:17" x14ac:dyDescent="0.3">
      <c r="A79" t="s">
        <v>37</v>
      </c>
      <c r="C79" t="s">
        <v>37</v>
      </c>
      <c r="E79" t="s">
        <v>37</v>
      </c>
      <c r="G79" t="s">
        <v>37</v>
      </c>
      <c r="I79" t="s">
        <v>37</v>
      </c>
      <c r="K79" t="s">
        <v>37</v>
      </c>
      <c r="M79" t="s">
        <v>37</v>
      </c>
      <c r="O79" t="s">
        <v>37</v>
      </c>
      <c r="Q79" t="s">
        <v>37</v>
      </c>
    </row>
    <row r="80" spans="1:17" x14ac:dyDescent="0.3">
      <c r="A80" t="s">
        <v>37</v>
      </c>
      <c r="C80" t="s">
        <v>37</v>
      </c>
      <c r="E80" t="s">
        <v>37</v>
      </c>
      <c r="G80" t="s">
        <v>37</v>
      </c>
      <c r="I80" t="s">
        <v>37</v>
      </c>
      <c r="K80" t="s">
        <v>37</v>
      </c>
      <c r="M80" t="s">
        <v>37</v>
      </c>
      <c r="O80" t="s">
        <v>37</v>
      </c>
      <c r="Q80" t="s">
        <v>37</v>
      </c>
    </row>
    <row r="81" spans="1:17" x14ac:dyDescent="0.3">
      <c r="A81" t="s">
        <v>37</v>
      </c>
      <c r="C81" t="s">
        <v>37</v>
      </c>
      <c r="E81" t="s">
        <v>37</v>
      </c>
      <c r="G81" t="s">
        <v>37</v>
      </c>
      <c r="I81" t="s">
        <v>37</v>
      </c>
      <c r="K81" t="s">
        <v>37</v>
      </c>
      <c r="M81" t="s">
        <v>37</v>
      </c>
      <c r="O81" t="s">
        <v>37</v>
      </c>
      <c r="Q81" t="s">
        <v>37</v>
      </c>
    </row>
    <row r="82" spans="1:17" x14ac:dyDescent="0.3">
      <c r="A82" t="s">
        <v>37</v>
      </c>
      <c r="C82" t="s">
        <v>37</v>
      </c>
      <c r="E82" t="s">
        <v>37</v>
      </c>
      <c r="G82" t="s">
        <v>37</v>
      </c>
      <c r="I82" t="s">
        <v>37</v>
      </c>
      <c r="K82" t="s">
        <v>37</v>
      </c>
      <c r="M82" t="s">
        <v>37</v>
      </c>
      <c r="O82" t="s">
        <v>37</v>
      </c>
      <c r="Q82" t="s">
        <v>37</v>
      </c>
    </row>
    <row r="83" spans="1:17" x14ac:dyDescent="0.3">
      <c r="A83" t="s">
        <v>37</v>
      </c>
      <c r="C83" t="s">
        <v>37</v>
      </c>
      <c r="E83" t="s">
        <v>37</v>
      </c>
      <c r="G83" t="s">
        <v>37</v>
      </c>
      <c r="I83" t="s">
        <v>37</v>
      </c>
      <c r="K83" t="s">
        <v>37</v>
      </c>
      <c r="M83" t="s">
        <v>37</v>
      </c>
      <c r="O83" t="s">
        <v>37</v>
      </c>
      <c r="Q83" t="s">
        <v>37</v>
      </c>
    </row>
    <row r="84" spans="1:17" x14ac:dyDescent="0.3">
      <c r="A84" t="s">
        <v>37</v>
      </c>
      <c r="C84" t="s">
        <v>37</v>
      </c>
      <c r="E84" t="s">
        <v>37</v>
      </c>
      <c r="G84" t="s">
        <v>37</v>
      </c>
      <c r="I84" t="s">
        <v>37</v>
      </c>
      <c r="K84" t="s">
        <v>37</v>
      </c>
      <c r="M84" t="s">
        <v>37</v>
      </c>
      <c r="O84" t="s">
        <v>37</v>
      </c>
      <c r="Q84" t="s">
        <v>37</v>
      </c>
    </row>
    <row r="85" spans="1:17" x14ac:dyDescent="0.3">
      <c r="A85" t="s">
        <v>37</v>
      </c>
      <c r="C85" t="s">
        <v>37</v>
      </c>
      <c r="E85" t="s">
        <v>37</v>
      </c>
      <c r="G85" t="s">
        <v>37</v>
      </c>
      <c r="I85" t="s">
        <v>37</v>
      </c>
      <c r="K85" t="s">
        <v>37</v>
      </c>
      <c r="M85" t="s">
        <v>37</v>
      </c>
      <c r="O85" t="s">
        <v>37</v>
      </c>
      <c r="Q85" t="s">
        <v>37</v>
      </c>
    </row>
    <row r="86" spans="1:17" x14ac:dyDescent="0.3">
      <c r="A86" t="s">
        <v>37</v>
      </c>
      <c r="C86" t="s">
        <v>37</v>
      </c>
      <c r="E86" t="s">
        <v>37</v>
      </c>
      <c r="G86" t="s">
        <v>37</v>
      </c>
      <c r="I86" t="s">
        <v>37</v>
      </c>
      <c r="K86" t="s">
        <v>37</v>
      </c>
      <c r="M86" t="s">
        <v>37</v>
      </c>
      <c r="O86" t="s">
        <v>37</v>
      </c>
      <c r="Q86" t="s">
        <v>37</v>
      </c>
    </row>
    <row r="87" spans="1:17" x14ac:dyDescent="0.3">
      <c r="A87" t="s">
        <v>37</v>
      </c>
      <c r="C87" t="s">
        <v>37</v>
      </c>
      <c r="E87" t="s">
        <v>37</v>
      </c>
      <c r="G87" t="s">
        <v>37</v>
      </c>
      <c r="I87" t="s">
        <v>37</v>
      </c>
      <c r="K87" t="s">
        <v>37</v>
      </c>
      <c r="M87" t="s">
        <v>37</v>
      </c>
      <c r="O87" t="s">
        <v>37</v>
      </c>
      <c r="Q87" t="s">
        <v>37</v>
      </c>
    </row>
    <row r="88" spans="1:17" x14ac:dyDescent="0.3">
      <c r="A88" t="s">
        <v>37</v>
      </c>
      <c r="C88" t="s">
        <v>37</v>
      </c>
      <c r="E88" t="s">
        <v>37</v>
      </c>
      <c r="G88" t="s">
        <v>37</v>
      </c>
      <c r="I88" t="s">
        <v>37</v>
      </c>
      <c r="K88" t="s">
        <v>37</v>
      </c>
      <c r="M88" t="s">
        <v>37</v>
      </c>
      <c r="O88" t="s">
        <v>37</v>
      </c>
      <c r="Q88" t="s">
        <v>37</v>
      </c>
    </row>
    <row r="89" spans="1:17" x14ac:dyDescent="0.3">
      <c r="A89" t="s">
        <v>37</v>
      </c>
      <c r="C89" t="s">
        <v>37</v>
      </c>
      <c r="E89" t="s">
        <v>37</v>
      </c>
      <c r="G89" t="s">
        <v>37</v>
      </c>
      <c r="I89" t="s">
        <v>37</v>
      </c>
      <c r="K89" t="s">
        <v>37</v>
      </c>
      <c r="M89" t="s">
        <v>37</v>
      </c>
      <c r="O89" t="s">
        <v>37</v>
      </c>
      <c r="Q89" t="s">
        <v>37</v>
      </c>
    </row>
    <row r="90" spans="1:17" x14ac:dyDescent="0.3">
      <c r="A90" t="s">
        <v>37</v>
      </c>
      <c r="C90" t="s">
        <v>37</v>
      </c>
      <c r="E90" t="s">
        <v>37</v>
      </c>
      <c r="G90" t="s">
        <v>37</v>
      </c>
      <c r="I90" t="s">
        <v>37</v>
      </c>
      <c r="K90" t="s">
        <v>37</v>
      </c>
      <c r="M90" t="s">
        <v>37</v>
      </c>
      <c r="O90" t="s">
        <v>37</v>
      </c>
      <c r="Q90" t="s">
        <v>37</v>
      </c>
    </row>
    <row r="91" spans="1:17" x14ac:dyDescent="0.3">
      <c r="A91" t="s">
        <v>37</v>
      </c>
      <c r="C91" t="s">
        <v>37</v>
      </c>
      <c r="E91" t="s">
        <v>37</v>
      </c>
      <c r="G91" t="s">
        <v>37</v>
      </c>
      <c r="I91" t="s">
        <v>37</v>
      </c>
      <c r="K91" t="s">
        <v>37</v>
      </c>
      <c r="M91" t="s">
        <v>37</v>
      </c>
      <c r="O91" t="s">
        <v>37</v>
      </c>
      <c r="Q91" t="s">
        <v>37</v>
      </c>
    </row>
    <row r="92" spans="1:17" x14ac:dyDescent="0.3">
      <c r="A92" t="s">
        <v>37</v>
      </c>
      <c r="C92" t="s">
        <v>37</v>
      </c>
      <c r="E92" t="s">
        <v>37</v>
      </c>
      <c r="G92" t="s">
        <v>37</v>
      </c>
      <c r="I92" t="s">
        <v>37</v>
      </c>
      <c r="K92" t="s">
        <v>37</v>
      </c>
      <c r="M92" t="s">
        <v>37</v>
      </c>
      <c r="O92" t="s">
        <v>37</v>
      </c>
      <c r="Q92" t="s">
        <v>37</v>
      </c>
    </row>
    <row r="93" spans="1:17" x14ac:dyDescent="0.3">
      <c r="A93" t="s">
        <v>37</v>
      </c>
      <c r="C93" t="s">
        <v>37</v>
      </c>
      <c r="E93" t="s">
        <v>37</v>
      </c>
      <c r="G93" t="s">
        <v>37</v>
      </c>
      <c r="I93" t="s">
        <v>37</v>
      </c>
      <c r="K93" t="s">
        <v>37</v>
      </c>
      <c r="M93" t="s">
        <v>37</v>
      </c>
      <c r="O93" t="s">
        <v>37</v>
      </c>
      <c r="Q93" t="s">
        <v>37</v>
      </c>
    </row>
    <row r="94" spans="1:17" x14ac:dyDescent="0.3">
      <c r="A94" t="s">
        <v>37</v>
      </c>
      <c r="C94" t="s">
        <v>37</v>
      </c>
      <c r="E94" t="s">
        <v>37</v>
      </c>
      <c r="G94" t="s">
        <v>37</v>
      </c>
      <c r="I94" t="s">
        <v>37</v>
      </c>
      <c r="K94" t="s">
        <v>37</v>
      </c>
      <c r="M94" t="s">
        <v>37</v>
      </c>
      <c r="O94" t="s">
        <v>37</v>
      </c>
      <c r="Q94" t="s">
        <v>37</v>
      </c>
    </row>
    <row r="95" spans="1:17" x14ac:dyDescent="0.3">
      <c r="A95" t="s">
        <v>37</v>
      </c>
      <c r="C95" t="s">
        <v>37</v>
      </c>
      <c r="E95" t="s">
        <v>37</v>
      </c>
      <c r="G95" t="s">
        <v>37</v>
      </c>
      <c r="I95" t="s">
        <v>37</v>
      </c>
      <c r="K95" t="s">
        <v>37</v>
      </c>
      <c r="M95" t="s">
        <v>37</v>
      </c>
      <c r="O95" t="s">
        <v>37</v>
      </c>
      <c r="Q95" t="s">
        <v>37</v>
      </c>
    </row>
    <row r="96" spans="1:17" x14ac:dyDescent="0.3">
      <c r="A96" t="s">
        <v>37</v>
      </c>
      <c r="C96" t="s">
        <v>37</v>
      </c>
      <c r="E96" t="s">
        <v>37</v>
      </c>
      <c r="G96" t="s">
        <v>37</v>
      </c>
      <c r="I96" t="s">
        <v>37</v>
      </c>
      <c r="K96" t="s">
        <v>37</v>
      </c>
      <c r="M96" t="s">
        <v>37</v>
      </c>
      <c r="O96" t="s">
        <v>37</v>
      </c>
      <c r="Q96" t="s">
        <v>37</v>
      </c>
    </row>
    <row r="97" spans="1:17" x14ac:dyDescent="0.3">
      <c r="A97" t="s">
        <v>37</v>
      </c>
      <c r="C97" t="s">
        <v>37</v>
      </c>
      <c r="E97" t="s">
        <v>37</v>
      </c>
      <c r="G97" t="s">
        <v>37</v>
      </c>
      <c r="I97" t="s">
        <v>37</v>
      </c>
      <c r="K97" t="s">
        <v>37</v>
      </c>
      <c r="M97" t="s">
        <v>37</v>
      </c>
      <c r="O97" t="s">
        <v>37</v>
      </c>
      <c r="Q97" t="s">
        <v>37</v>
      </c>
    </row>
    <row r="98" spans="1:17" x14ac:dyDescent="0.3">
      <c r="A98" t="s">
        <v>37</v>
      </c>
      <c r="C98" t="s">
        <v>37</v>
      </c>
      <c r="E98" t="s">
        <v>37</v>
      </c>
      <c r="G98" t="s">
        <v>37</v>
      </c>
      <c r="I98" t="s">
        <v>37</v>
      </c>
      <c r="K98" t="s">
        <v>37</v>
      </c>
      <c r="M98" t="s">
        <v>37</v>
      </c>
      <c r="O98" t="s">
        <v>37</v>
      </c>
      <c r="Q98" t="s">
        <v>37</v>
      </c>
    </row>
    <row r="99" spans="1:17" x14ac:dyDescent="0.3">
      <c r="A99" t="s">
        <v>37</v>
      </c>
      <c r="C99" t="s">
        <v>37</v>
      </c>
      <c r="E99" t="s">
        <v>37</v>
      </c>
      <c r="G99" t="s">
        <v>37</v>
      </c>
      <c r="I99" t="s">
        <v>37</v>
      </c>
      <c r="K99" t="s">
        <v>37</v>
      </c>
      <c r="M99" t="s">
        <v>37</v>
      </c>
      <c r="O99" t="s">
        <v>37</v>
      </c>
      <c r="Q99" t="s">
        <v>37</v>
      </c>
    </row>
    <row r="100" spans="1:17" x14ac:dyDescent="0.3">
      <c r="A100" t="s">
        <v>37</v>
      </c>
      <c r="C100" t="s">
        <v>37</v>
      </c>
      <c r="E100" t="s">
        <v>37</v>
      </c>
      <c r="G100" t="s">
        <v>37</v>
      </c>
      <c r="I100" t="s">
        <v>37</v>
      </c>
      <c r="K100" t="s">
        <v>37</v>
      </c>
      <c r="M100" t="s">
        <v>37</v>
      </c>
      <c r="O100" t="s">
        <v>37</v>
      </c>
      <c r="Q100" t="s">
        <v>37</v>
      </c>
    </row>
    <row r="101" spans="1:17" x14ac:dyDescent="0.3">
      <c r="A101" t="s">
        <v>37</v>
      </c>
      <c r="C101" t="s">
        <v>37</v>
      </c>
      <c r="E101" t="s">
        <v>37</v>
      </c>
      <c r="G101" t="s">
        <v>37</v>
      </c>
      <c r="I101" t="s">
        <v>37</v>
      </c>
      <c r="K101" t="s">
        <v>37</v>
      </c>
      <c r="M101" t="s">
        <v>37</v>
      </c>
      <c r="O101" t="s">
        <v>37</v>
      </c>
      <c r="Q101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FF854-86BF-4EFD-85CF-BF37A4DD082A}">
  <dimension ref="A1:Q4"/>
  <sheetViews>
    <sheetView showGridLines="0" tabSelected="1" zoomScale="85" zoomScaleNormal="85" workbookViewId="0">
      <selection activeCell="I2" sqref="I2"/>
    </sheetView>
  </sheetViews>
  <sheetFormatPr defaultRowHeight="14.4" x14ac:dyDescent="0.3"/>
  <cols>
    <col min="1" max="1" width="9.5546875" style="4" customWidth="1"/>
    <col min="2" max="2" width="23.88671875" style="4" customWidth="1"/>
    <col min="3" max="3" width="16.5546875" style="4" customWidth="1"/>
    <col min="4" max="4" width="17.5546875" style="4" customWidth="1"/>
    <col min="5" max="5" width="20.5546875" style="4" customWidth="1"/>
    <col min="6" max="6" width="25.88671875" style="4" customWidth="1"/>
    <col min="7" max="7" width="17.88671875" style="4" customWidth="1"/>
    <col min="8" max="8" width="29" style="4" customWidth="1"/>
    <col min="9" max="9" width="27.109375" style="4" customWidth="1"/>
    <col min="10" max="10" width="16.88671875" style="4" customWidth="1"/>
    <col min="11" max="11" width="21.88671875" style="5" customWidth="1"/>
    <col min="12" max="12" width="21.88671875" style="4" customWidth="1"/>
    <col min="13" max="13" width="23.33203125" style="4" customWidth="1"/>
    <col min="14" max="14" width="19" style="4" customWidth="1"/>
    <col min="15" max="15" width="10.109375" style="4" customWidth="1"/>
    <col min="16" max="16" width="8.88671875" style="4"/>
    <col min="17" max="17" width="10.109375" style="4" customWidth="1"/>
    <col min="18" max="16384" width="8.88671875" style="4"/>
  </cols>
  <sheetData>
    <row r="1" spans="1:17" x14ac:dyDescent="0.3">
      <c r="A1" s="18" t="s">
        <v>16</v>
      </c>
      <c r="B1" s="18" t="s">
        <v>49</v>
      </c>
      <c r="C1" s="19" t="s">
        <v>44</v>
      </c>
      <c r="D1" s="19" t="s">
        <v>45</v>
      </c>
      <c r="E1" s="20" t="s">
        <v>2</v>
      </c>
      <c r="F1" s="20" t="s">
        <v>34</v>
      </c>
      <c r="G1" s="20" t="s">
        <v>9</v>
      </c>
      <c r="H1" s="21" t="s">
        <v>50</v>
      </c>
      <c r="I1" s="21" t="s">
        <v>51</v>
      </c>
      <c r="J1" s="22" t="s">
        <v>7</v>
      </c>
      <c r="K1" s="22" t="s">
        <v>8</v>
      </c>
      <c r="L1" s="22" t="s">
        <v>35</v>
      </c>
      <c r="M1" s="22" t="s">
        <v>36</v>
      </c>
      <c r="O1" s="19" t="s">
        <v>32</v>
      </c>
      <c r="Q1" s="20" t="s">
        <v>33</v>
      </c>
    </row>
    <row r="2" spans="1:17" x14ac:dyDescent="0.3">
      <c r="A2" s="4" t="str" cm="1">
        <f t="array" ref="A2">IFERROR(
    INDEX(_xlfn._xlws.FILTER(StaffMasterTable[Staff_ID], StaffMasterTable[Active_Status] &lt;&gt; "OffContract"), ROW() - ROW(StaffPreferenceTable[[#Headers],[Staff_ID]])),
    ""
)</f>
        <v>1</v>
      </c>
      <c r="B2" s="17" t="str">
        <f>IF(StaffPreferenceTable[[#This Row],[Staff_ID]]="", "",
    _xlfn.LET(
        _xlpm.rowMatch, _xlfn.XLOOKUP(StaffPreferenceTable[[#This Row],[Staff_ID]], StaffMasterTable[Staff_ID], StaffMasterTable[[Family_Name]:[Given_Name]], ""),
        TRIM(_xlfn.TEXTJOIN(" ", TRUE, INDEX(_xlpm.rowMatch, 1), INDEX(_xlpm.rowMatch, 3)))
    )
)</f>
        <v>Ng He</v>
      </c>
    </row>
    <row r="3" spans="1:17" x14ac:dyDescent="0.3">
      <c r="A3" s="4" t="str" cm="1">
        <f t="array" ref="A3">IFERROR(
    INDEX(_xlfn._xlws.FILTER(StaffMasterTable[Staff_ID], StaffMasterTable[Active_Status] &lt;&gt; "OffContract"), ROW() - ROW(StaffPreferenceTable[[#Headers],[Staff_ID]])),
    ""
)</f>
        <v>2</v>
      </c>
      <c r="B3" s="17" t="str">
        <f>IF(StaffPreferenceTable[[#This Row],[Staff_ID]]="", "",
    _xlfn.LET(
        _xlpm.rowMatch, _xlfn.XLOOKUP(StaffPreferenceTable[[#This Row],[Staff_ID]], StaffMasterTable[Staff_ID], StaffMasterTable[[Family_Name]:[Given_Name]], ""),
        TRIM(_xlfn.TEXTJOIN(" ", TRUE, INDEX(_xlpm.rowMatch, 1), INDEX(_xlpm.rowMatch, 3)))
    )
)</f>
        <v>Lee Leng</v>
      </c>
    </row>
    <row r="4" spans="1:17" x14ac:dyDescent="0.3">
      <c r="A4" s="4" t="str" cm="1">
        <f t="array" ref="A4">IFERROR(
    INDEX(_xlfn._xlws.FILTER(StaffMasterTable[Staff_ID], StaffMasterTable[Active_Status] &lt;&gt; "OffContract"), ROW() - ROW(StaffPreferenceTable[[#Headers],[Staff_ID]])),
    ""
)</f>
        <v>3</v>
      </c>
      <c r="B4" s="17" t="str">
        <f>IF(StaffPreferenceTable[[#This Row],[Staff_ID]]="", "",
    _xlfn.LET(
        _xlpm.rowMatch, _xlfn.XLOOKUP(StaffPreferenceTable[[#This Row],[Staff_ID]], StaffMasterTable[Staff_ID], StaffMasterTable[[Family_Name]:[Given_Name]], ""),
        TRIM(_xlfn.TEXTJOIN(" ", TRUE, INDEX(_xlpm.rowMatch, 1), INDEX(_xlpm.rowMatch, 3)))
    )
)</f>
        <v>Ng Kian Leng</v>
      </c>
    </row>
  </sheetData>
  <phoneticPr fontId="1" type="noConversion"/>
  <conditionalFormatting sqref="C2:C4 E2:E4">
    <cfRule type="expression" dxfId="28" priority="6">
      <formula>AND($A2&lt;&gt;"", ISBLANK(E2))</formula>
    </cfRule>
  </conditionalFormatting>
  <dataValidations count="5">
    <dataValidation type="list" allowBlank="1" showInputMessage="1" showErrorMessage="1" errorTitle="Invalid Value" error="Please pick an approved value from the dropdown list." sqref="C2:D4" xr:uid="{A551EB39-9752-4D75-9428-E692E2A7C0F0}">
      <formula1>TeamList</formula1>
    </dataValidation>
    <dataValidation type="list" allowBlank="1" showInputMessage="1" showErrorMessage="1" errorTitle="Invalid Value" error="Please pick an approved value from the dropdown list." sqref="E2:G4" xr:uid="{93E060DB-BEFE-4067-BAE1-3B61208312C2}">
      <formula1>SkillsList</formula1>
    </dataValidation>
    <dataValidation type="list" allowBlank="1" showInputMessage="1" showErrorMessage="1" errorTitle="Invalid Value" error="Please pick an approved value from the dropdown list." sqref="H2:H4" xr:uid="{CF3EADF6-EC15-407D-A4C7-B6568F0F4A78}">
      <formula1>VehicleTypeList</formula1>
    </dataValidation>
    <dataValidation type="list" allowBlank="1" showInputMessage="1" showErrorMessage="1" errorTitle="Invalid Value" error="Please pick an approved value from the dropdown list." sqref="J2:J4" xr:uid="{AB393258-8B76-4638-AEC2-50F5F2356968}">
      <formula1>ShiftList</formula1>
    </dataValidation>
    <dataValidation type="list" allowBlank="1" showInputMessage="1" showErrorMessage="1" errorTitle="Invalid Value" error="Please pick an approved value from the dropdown list." sqref="L2:M4" xr:uid="{1760B24C-C2FD-4E78-A8F6-41DB90C56FE1}">
      <formula1>DaysOfWeekList</formula1>
    </dataValidation>
  </dataValidations>
  <pageMargins left="0.7" right="0.7" top="0.75" bottom="0.75" header="0.3" footer="0.3"/>
  <tableParts count="3">
    <tablePart r:id="rId1"/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7ABEC7B-F712-45D9-AFA6-F2B253539D99}">
            <xm:f>COUNTIF(License!$A:$A, $A2)=0</xm:f>
            <x14:dxf>
              <fill>
                <patternFill patternType="lightUp">
                  <fgColor theme="0" tint="-0.499984740745262"/>
                </patternFill>
              </fill>
            </x14:dxf>
          </x14:cfRule>
          <xm:sqref>H2:I4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errorTitle="Invalid Value" error="Staff can't have dedicated Vechicles if it doesn't have a valid license." xr:uid="{8A2D9E6D-F863-48E9-904C-404E6DE66A2A}">
          <x14:formula1>
            <xm:f>COUNTIF(License!$A:$A, $A2)&gt;0</xm:f>
          </x14:formula1>
          <xm:sqref>I2:I4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0CB-33F2-4DD1-8AF9-70E077462B92}">
  <dimension ref="A1:E6"/>
  <sheetViews>
    <sheetView showGridLines="0" workbookViewId="0">
      <selection activeCell="B2" sqref="B2"/>
    </sheetView>
  </sheetViews>
  <sheetFormatPr defaultRowHeight="14.4" x14ac:dyDescent="0.3"/>
  <cols>
    <col min="1" max="1" width="9.33203125" style="16" bestFit="1" customWidth="1"/>
    <col min="2" max="2" width="24.6640625" style="16" customWidth="1"/>
    <col min="3" max="3" width="14.6640625" style="16" bestFit="1" customWidth="1"/>
    <col min="4" max="4" width="12.44140625" style="16" bestFit="1" customWidth="1"/>
    <col min="5" max="5" width="11.6640625" style="16" customWidth="1"/>
    <col min="6" max="16384" width="8.88671875" style="16"/>
  </cols>
  <sheetData>
    <row r="1" spans="1:5" x14ac:dyDescent="0.3">
      <c r="A1" s="23" t="s">
        <v>16</v>
      </c>
      <c r="B1" s="23" t="s">
        <v>49</v>
      </c>
      <c r="C1" s="24" t="s">
        <v>69</v>
      </c>
      <c r="D1" s="24" t="s">
        <v>70</v>
      </c>
      <c r="E1" s="24" t="s">
        <v>71</v>
      </c>
    </row>
    <row r="2" spans="1:5" x14ac:dyDescent="0.3">
      <c r="A2" s="16">
        <v>1</v>
      </c>
      <c r="B2" s="16" t="str">
        <f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>Ng He</v>
      </c>
    </row>
    <row r="3" spans="1:5" x14ac:dyDescent="0.3">
      <c r="B3" s="16" t="str">
        <f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/>
      </c>
    </row>
    <row r="4" spans="1:5" x14ac:dyDescent="0.3">
      <c r="B4" s="16" t="str">
        <f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/>
      </c>
    </row>
    <row r="5" spans="1:5" x14ac:dyDescent="0.3">
      <c r="B5" s="16" t="str">
        <f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/>
      </c>
    </row>
    <row r="6" spans="1:5" x14ac:dyDescent="0.3">
      <c r="B6" s="16" t="str">
        <f>_xlfn.LET(
    _xlpm.id, Table6[[#This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/>
      </c>
    </row>
  </sheetData>
  <phoneticPr fontId="1" type="noConversion"/>
  <conditionalFormatting sqref="C2:E6">
    <cfRule type="expression" dxfId="4" priority="1">
      <formula>AND($A2&lt;&gt;"", ISBLANK(C2))</formula>
    </cfRule>
  </conditionalFormatting>
  <dataValidations count="2">
    <dataValidation type="list" allowBlank="1" showInputMessage="1" showErrorMessage="1" sqref="C2:C1048576" xr:uid="{9F436968-04FF-443A-8E72-62DE047CA921}">
      <formula1>LicenseClassList</formula1>
    </dataValidation>
    <dataValidation type="list" allowBlank="1" showInputMessage="1" showErrorMessage="1" sqref="E2:E1048576" xr:uid="{032603D3-5DB5-4FC7-930E-6AB8F5AB4B2D}">
      <formula1>LicenseStatusList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C77C7-1D76-4111-9C2C-82DA56343665}">
  <dimension ref="A1:J2"/>
  <sheetViews>
    <sheetView showGridLines="0" workbookViewId="0">
      <selection activeCell="D7" sqref="D7"/>
    </sheetView>
  </sheetViews>
  <sheetFormatPr defaultRowHeight="14.4" x14ac:dyDescent="0.3"/>
  <cols>
    <col min="1" max="1" width="13.5546875" style="4" customWidth="1"/>
    <col min="2" max="2" width="12.109375" customWidth="1"/>
    <col min="3" max="3" width="13.5546875" bestFit="1" customWidth="1"/>
    <col min="4" max="4" width="14" customWidth="1"/>
    <col min="5" max="5" width="13.5546875" style="4" customWidth="1"/>
    <col min="6" max="6" width="12.5546875" style="6" customWidth="1"/>
    <col min="7" max="7" width="11.6640625" style="6" customWidth="1"/>
    <col min="8" max="8" width="16.33203125" style="4" customWidth="1"/>
    <col min="9" max="9" width="17.5546875" style="4" customWidth="1"/>
    <col min="10" max="10" width="17.6640625" style="4" customWidth="1"/>
  </cols>
  <sheetData>
    <row r="1" spans="1:10" x14ac:dyDescent="0.3">
      <c r="A1" s="7" t="s">
        <v>10</v>
      </c>
      <c r="B1" s="2" t="s">
        <v>16</v>
      </c>
      <c r="C1" s="2" t="s">
        <v>49</v>
      </c>
      <c r="D1" s="7" t="s">
        <v>11</v>
      </c>
      <c r="E1" s="15" t="s">
        <v>12</v>
      </c>
      <c r="F1" s="15" t="s">
        <v>13</v>
      </c>
      <c r="G1" s="7" t="s">
        <v>17</v>
      </c>
      <c r="H1" s="7" t="s">
        <v>14</v>
      </c>
      <c r="I1" s="7" t="s">
        <v>15</v>
      </c>
      <c r="J1"/>
    </row>
    <row r="2" spans="1:10" x14ac:dyDescent="0.3">
      <c r="B2">
        <v>1</v>
      </c>
      <c r="C2" t="str">
        <f>_xlfn.LET(
    _xlpm.id, Table4[[#This Row],[Staff_ID]],
    _xlpm.fName, _xlfn.XLOOKUP(VALUE(_xlpm.id), StaffMasterTable[Staff_ID], StaffMasterTable[Family_Name], _xlfn.XLOOKUP(TEXT(_xlpm.id, "@"), StaffMasterTable[Staff_ID], StaffMasterTable[Family_Name], "")),
    _xlpm.gName, _xlfn.XLOOKUP(VALUE(_xlpm.id), StaffMasterTable[Staff_ID], StaffMasterTable[Given_Name], _xlfn.XLOOKUP(TEXT(_xlpm.id, "@"), StaffMasterTable[Staff_ID], StaffMasterTable[Given_Name], "")),
    TRIM(_xlpm.fName &amp; " " &amp; _xlpm.gName)
)</f>
        <v>Ng He</v>
      </c>
      <c r="D2" s="4"/>
      <c r="E2" s="6"/>
      <c r="G2" s="4"/>
      <c r="J2"/>
    </row>
  </sheetData>
  <dataValidations count="2">
    <dataValidation type="list" allowBlank="1" showInputMessage="1" showErrorMessage="1" errorTitle="Invalid Value" error="Please pick an approved value from the dropdown list." sqref="E3:E1048576 D2" xr:uid="{C40CE5C4-A43C-44A7-A005-16D25EFBB866}">
      <formula1>LeaveList</formula1>
    </dataValidation>
    <dataValidation type="list" allowBlank="1" showInputMessage="1" showErrorMessage="1" sqref="J3:J1048576 I2" xr:uid="{689F6CFE-4F4F-4335-A070-E35C37E7F9C2}">
      <formula1>ApprovalStatusList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Master</vt:lpstr>
      <vt:lpstr>Lookups</vt:lpstr>
      <vt:lpstr>Preference</vt:lpstr>
      <vt:lpstr>License</vt:lpstr>
      <vt:lpstr>Leave</vt:lpstr>
      <vt:lpstr>ActiveStatusList</vt:lpstr>
      <vt:lpstr>ApprovalStatusList</vt:lpstr>
      <vt:lpstr>DaysOfWeekList</vt:lpstr>
      <vt:lpstr>DepartmentList</vt:lpstr>
      <vt:lpstr>LeaveList</vt:lpstr>
      <vt:lpstr>LeaveTypeList</vt:lpstr>
      <vt:lpstr>LicenseClassList</vt:lpstr>
      <vt:lpstr>LicenseStatusList</vt:lpstr>
      <vt:lpstr>PayTypeList</vt:lpstr>
      <vt:lpstr>SessionList</vt:lpstr>
      <vt:lpstr>ShiftList</vt:lpstr>
      <vt:lpstr>SkillsList</vt:lpstr>
      <vt:lpstr>TeamList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2026-09-24T09:33:45Z</dcterms:modified>
</cp:coreProperties>
</file>