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10A2DA9D-F2D5-428D-B457-69CBC647C42A}" xr6:coauthVersionLast="47" xr6:coauthVersionMax="47" xr10:uidLastSave="{00000000-0000-0000-0000-000000000000}"/>
  <bookViews>
    <workbookView xWindow="-110" yWindow="-110" windowWidth="38620" windowHeight="15620" xr2:uid="{186477AC-57E7-4A40-8D73-89A4E6686878}"/>
  </bookViews>
  <sheets>
    <sheet name="Daily Schedule" sheetId="1" r:id="rId1"/>
    <sheet name="Daily Attendance" sheetId="2" r:id="rId2"/>
    <sheet name="Daily Salary" sheetId="6" r:id="rId3"/>
    <sheet name="Preference" sheetId="3" r:id="rId4"/>
  </sheets>
  <externalReferences>
    <externalReference r:id="rId5"/>
  </externalReferences>
  <definedNames>
    <definedName name="ActiveStatusList">[1]Lookups!$G$2:$G$4</definedName>
    <definedName name="ApprovalStatusList">[1]Lookups!$O$2:$O$4</definedName>
    <definedName name="DaysOfWeekList">[1]Lookups!$I$2:$I$8</definedName>
    <definedName name="DepartmentList">[1]Lookups!$A$2:$A$3</definedName>
    <definedName name="LeaveList">[1]Lookups!$K$2:$K$5</definedName>
    <definedName name="LeaveTypeList">[1]Lookups!$I$2:$I$5</definedName>
    <definedName name="LicenseClassList">[1]Lookups!$M$2:$M$10</definedName>
    <definedName name="LicenseStatusList">[1]Lookups!$O$2:$O$4</definedName>
    <definedName name="PayTypeList">[1]Lookups!$E$2:$E$3</definedName>
    <definedName name="SessionList">[1]Lookups!$K$2:$K$5</definedName>
    <definedName name="ShiftList">[1]Lookups!$C$2:$C$4</definedName>
    <definedName name="SkillsList" localSheetId="2">SkillsTable[Skills]</definedName>
    <definedName name="SkillsList">SkillsTable[Skills]</definedName>
    <definedName name="TeamList" localSheetId="2">TeamTable[Teams]</definedName>
    <definedName name="TeamList">TeamTable[Teams]</definedName>
    <definedName name="VehicleTypeList">[1]Lookups!$Q$2:$Q$7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4" i="3" l="1" a="1"/>
  <c r="A4" i="3" s="1"/>
  <c r="B4" i="3" s="1"/>
  <c r="A3" i="3" a="1"/>
  <c r="A3" i="3" s="1"/>
  <c r="B3" i="3" s="1"/>
  <c r="A2" i="3" a="1"/>
  <c r="A2" i="3" s="1"/>
  <c r="B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<sst xmlns="http://schemas.openxmlformats.org/spreadsheetml/2006/main" count="68" uniqueCount="49">
  <si>
    <t>Date:</t>
  </si>
  <si>
    <t>Day: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</si>
  <si>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</si>
  <si>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</si>
  <si>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</si>
  <si>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</si>
  <si>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</si>
  <si>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</si>
  <si>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</si>
  <si>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</si>
  <si>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</si>
  <si>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</si>
  <si>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</si>
  <si>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Day Work</t>
  </si>
  <si>
    <t>Night Work</t>
  </si>
  <si>
    <t>Vechicles</t>
  </si>
  <si>
    <t>Name</t>
  </si>
  <si>
    <t>Role</t>
  </si>
  <si>
    <t>Clock-In Time</t>
  </si>
  <si>
    <t>Leave Status</t>
  </si>
  <si>
    <t>Staff ID</t>
  </si>
  <si>
    <t>Clock-out Time</t>
  </si>
  <si>
    <t>Biometric Status</t>
  </si>
  <si>
    <t>Manual Override</t>
  </si>
  <si>
    <t>Override Reason</t>
  </si>
  <si>
    <t>Attendance State</t>
  </si>
  <si>
    <t>Is Allocated</t>
  </si>
  <si>
    <t>Skills</t>
  </si>
  <si>
    <t>Teams</t>
  </si>
  <si>
    <t>Other Skills</t>
  </si>
  <si>
    <t>Blacklisted Skills</t>
  </si>
  <si>
    <t>Primary Skill</t>
  </si>
  <si>
    <t>Team</t>
  </si>
  <si>
    <t>Preffered Vehicle Type</t>
  </si>
  <si>
    <t>Dedicated Vehicle Plate</t>
  </si>
  <si>
    <t>Preffered Shift</t>
  </si>
  <si>
    <t>Max days a week</t>
  </si>
  <si>
    <t>Rest Day Preference</t>
  </si>
  <si>
    <t>Staff Name</t>
  </si>
  <si>
    <t>Base Hours</t>
  </si>
  <si>
    <t>OT Hours</t>
  </si>
  <si>
    <t>Additional OT Hours</t>
  </si>
  <si>
    <t>Project Done</t>
  </si>
  <si>
    <t>Checked In Time</t>
  </si>
  <si>
    <t>Base Salary</t>
  </si>
  <si>
    <t>OT Salary</t>
  </si>
  <si>
    <t>Total Earned</t>
  </si>
  <si>
    <t>Late Checked In Cut Off Time</t>
  </si>
  <si>
    <t>Checked Out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</si>
</sst>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/>
      <diagonal/>
    </border>
    <border>
      <left style="thin">
        <color auto="1"/>
      </left>
      <right/>
      <top style="thin">
        <color theme="0" tint="-0.14996795556505021"/>
      </top>
      <bottom/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2"/>
      </right>
      <top/>
      <bottom/>
      <diagonal/>
    </border>
    <border>
      <left/>
      <right style="thin">
        <color theme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vertical="center" textRotation="90"/>
    </xf>
    <xf numFmtId="0" fontId="1" fillId="2" borderId="7" xfId="0" applyFont="1" applyFill="1" applyBorder="1"/>
    <xf numFmtId="0" fontId="1" fillId="2" borderId="5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4" xfId="0" applyBorder="1"/>
    <xf numFmtId="0" fontId="1" fillId="4" borderId="7" xfId="0" applyFont="1" applyFill="1" applyBorder="1"/>
    <xf numFmtId="0" fontId="1" fillId="4" borderId="5" xfId="0" applyFont="1" applyFill="1" applyBorder="1"/>
    <xf numFmtId="0" fontId="0" fillId="0" borderId="16" xfId="0" applyBorder="1"/>
    <xf numFmtId="0" fontId="1" fillId="4" borderId="6" xfId="0" applyFont="1" applyFill="1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 wrapText="1"/>
    </xf>
    <xf numFmtId="0" fontId="0" fillId="0" borderId="17" xfId="0" applyBorder="1" applyAlignment="1">
      <alignment horizontal="left" wrapText="1"/>
    </xf>
    <xf numFmtId="49" fontId="0" fillId="0" borderId="0" xfId="0" applyNumberFormat="1"/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0" fontId="3" fillId="5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0" fillId="7" borderId="0" xfId="0" applyFill="1" applyProtection="1">
      <protection locked="0"/>
    </xf>
    <xf numFmtId="0" fontId="3" fillId="8" borderId="0" xfId="0" applyFont="1" applyFill="1" applyProtection="1">
      <protection locked="0"/>
    </xf>
    <xf numFmtId="0" fontId="0" fillId="9" borderId="0" xfId="0" applyFill="1" applyProtection="1">
      <protection locked="0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textRotation="90"/>
    </xf>
    <xf numFmtId="0" fontId="0" fillId="4" borderId="2" xfId="0" applyFill="1" applyBorder="1" applyAlignment="1">
      <alignment horizontal="center" vertical="center" textRotation="90"/>
    </xf>
    <xf numFmtId="0" fontId="0" fillId="10" borderId="0" xfId="0" applyFill="1"/>
    <xf numFmtId="0" fontId="0" fillId="10" borderId="0" xfId="0" applyFill="1" applyAlignment="1">
      <alignment horizontal="left" wrapText="1"/>
    </xf>
    <xf numFmtId="49" fontId="0" fillId="10" borderId="0" xfId="0" applyNumberFormat="1" applyFill="1"/>
    <xf numFmtId="0" fontId="0" fillId="0" borderId="3" xfId="0" applyFill="1" applyBorder="1"/>
    <xf numFmtId="0" fontId="0" fillId="0" borderId="16" xfId="0" applyFill="1" applyBorder="1"/>
    <xf numFmtId="0" fontId="0" fillId="0" borderId="4" xfId="0" applyFill="1" applyBorder="1"/>
    <xf numFmtId="0" fontId="0" fillId="0" borderId="0" xfId="0" applyFill="1"/>
    <xf numFmtId="0" fontId="0" fillId="0" borderId="0" xfId="0" applyFill="1" applyAlignment="1">
      <alignment horizontal="left" wrapText="1"/>
    </xf>
    <xf numFmtId="0" fontId="0" fillId="0" borderId="17" xfId="0" applyFill="1" applyBorder="1" applyAlignment="1">
      <alignment horizontal="left" wrapText="1"/>
    </xf>
    <xf numFmtId="49" fontId="0" fillId="0" borderId="0" xfId="0" applyNumberFormat="1" applyFill="1"/>
    <xf numFmtId="0" fontId="0" fillId="0" borderId="17" xfId="0" applyFill="1" applyBorder="1"/>
    <xf numFmtId="0" fontId="0" fillId="10" borderId="0" xfId="0" applyFill="1" applyBorder="1"/>
    <xf numFmtId="0" fontId="0" fillId="0" borderId="0" xfId="0" applyFill="1" applyBorder="1"/>
  </cellXfs>
  <cellStyles count="1">
    <cellStyle name="Normal" xfId="0" builtinId="0"/>
  </cellStyles>
  <dxfs count="67"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2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>
        <left/>
        <right style="thin">
          <color theme="2"/>
        </right>
        <top/>
        <bottom/>
        <vertical/>
        <horizontal/>
      </border>
    </dxf>
    <dxf>
      <numFmt numFmtId="30" formatCode="@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left" vertical="bottom" textRotation="0" wrapText="1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 style="thin">
          <color auto="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theme="3" tint="0.749992370372631"/>
        </patternFill>
      </fill>
      <protection locked="0" hidden="0"/>
    </dxf>
    <dxf>
      <numFmt numFmtId="1" formatCode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fill>
        <patternFill patternType="solid">
          <fgColor indexed="64"/>
          <bgColor theme="5" tint="0.79998168889431442"/>
        </patternFill>
      </fill>
      <protection locked="0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TableStyleMedium2" defaultPivotStyle="PivotStyleLight16">
    <tableStyle name="SKSBStyleTableSimple" pivot="0" count="3" xr9:uid="{E88E17CD-1318-4895-A1BB-F5EA16AEF524}">
      <tableStyleElement type="headerRow" dxfId="66"/>
      <tableStyleElement type="firstRowStripe" dxfId="65"/>
      <tableStyleElement type="secondRowStripe" dxfId="6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ksb-\Documents\SKSB_APP\Templates\Staff_Manager_Template.xltx" TargetMode="External"/><Relationship Id="rId1" Type="http://schemas.openxmlformats.org/officeDocument/2006/relationships/externalLinkPath" Target="Staff_Manager_Template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Staff"/>
      <sheetName val="Lookups"/>
      <sheetName val="Vehicle Licenses"/>
      <sheetName val="Skill Licenses"/>
      <sheetName val="Staff_Manager_Template"/>
    </sheetNames>
    <sheetDataSet>
      <sheetData sheetId="0"/>
      <sheetData sheetId="1">
        <row r="2">
          <cell r="A2" t="str">
            <v>Admin</v>
          </cell>
          <cell r="C2" t="str">
            <v>Morning</v>
          </cell>
          <cell r="E2" t="str">
            <v>Hourly</v>
          </cell>
          <cell r="G2" t="str">
            <v>OnContract</v>
          </cell>
          <cell r="I2" t="str">
            <v>AnnualLeave</v>
          </cell>
          <cell r="K2" t="str">
            <v>FullDay</v>
          </cell>
          <cell r="M2" t="str">
            <v>B2</v>
          </cell>
          <cell r="O2" t="str">
            <v>Valid</v>
          </cell>
          <cell r="Q2" t="str">
            <v>Van</v>
          </cell>
        </row>
        <row r="3">
          <cell r="A3" t="str">
            <v>Worker</v>
          </cell>
          <cell r="C3" t="str">
            <v>Afternoon</v>
          </cell>
          <cell r="E3" t="str">
            <v>Monthly</v>
          </cell>
          <cell r="G3" t="str">
            <v>Suspended</v>
          </cell>
          <cell r="I3" t="str">
            <v>MedicalLeave</v>
          </cell>
          <cell r="K3" t="str">
            <v>Morning</v>
          </cell>
          <cell r="M3" t="str">
            <v>B</v>
          </cell>
          <cell r="O3" t="str">
            <v>Invalid</v>
          </cell>
          <cell r="Q3" t="str">
            <v>Lorry_1T</v>
          </cell>
        </row>
        <row r="4">
          <cell r="C4" t="str">
            <v>Night</v>
          </cell>
          <cell r="G4" t="str">
            <v>OffContract</v>
          </cell>
          <cell r="I4" t="str">
            <v>EmergencyLeave</v>
          </cell>
          <cell r="K4" t="str">
            <v>Afternoon</v>
          </cell>
          <cell r="M4" t="str">
            <v>D</v>
          </cell>
          <cell r="O4" t="str">
            <v>Suspended</v>
          </cell>
          <cell r="Q4" t="str">
            <v>Lorry_3T</v>
          </cell>
        </row>
        <row r="5">
          <cell r="I5" t="str">
            <v>Unpaid</v>
          </cell>
          <cell r="K5" t="str">
            <v>Night</v>
          </cell>
          <cell r="M5" t="str">
            <v>DA</v>
          </cell>
          <cell r="Q5" t="str">
            <v>Lorry_5T</v>
          </cell>
        </row>
        <row r="6">
          <cell r="I6" t="str">
            <v/>
          </cell>
          <cell r="M6" t="str">
            <v>E</v>
          </cell>
          <cell r="Q6" t="str">
            <v>Pickup</v>
          </cell>
        </row>
        <row r="7">
          <cell r="I7" t="str">
            <v/>
          </cell>
          <cell r="M7" t="str">
            <v>GDL_D</v>
          </cell>
          <cell r="Q7" t="str">
            <v>Forklift</v>
          </cell>
        </row>
        <row r="8">
          <cell r="I8" t="str">
            <v/>
          </cell>
          <cell r="M8" t="str">
            <v>GDL_E</v>
          </cell>
        </row>
        <row r="9">
          <cell r="M9" t="str">
            <v>GDL_E_Full</v>
          </cell>
        </row>
        <row r="10">
          <cell r="M10" t="str">
            <v>Forklift</v>
          </cell>
        </row>
      </sheetData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4F6556-02F3-4742-A9F1-FCE341541003}" name="Table5" displayName="Table5" ref="B3:L17" totalsRowShown="0" headerRowDxfId="44">
  <autoFilter ref="B3:L17" xr:uid="{D84F6556-02F3-4742-A9F1-FCE341541003}"/>
  <tableColumns count="11">
    <tableColumn id="1" xr3:uid="{93AD1A0B-D934-4BA9-AF4F-F5595C46ECC7}" name="Column1" dataDxfId="43"/>
    <tableColumn id="2" xr3:uid="{1B2F5C78-4A12-466D-A3B0-5788AA8C575A}" name="Column2" dataDxfId="42"/>
    <tableColumn id="3" xr3:uid="{AD31EE87-D7A9-4849-8C43-9F27A465ABD8}" name="Column3" dataDxfId="41"/>
    <tableColumn id="4" xr3:uid="{031F799B-BDA9-488D-B6B8-E0905573623B}" name="Column4" dataDxfId="40"/>
    <tableColumn id="5" xr3:uid="{68DF743C-B248-425C-A140-49CCEF535F47}" name="Column5" dataDxfId="39"/>
    <tableColumn id="6" xr3:uid="{908673BE-FDAE-4F2A-8929-865D7504656C}" name="Column6" dataDxfId="38"/>
    <tableColumn id="7" xr3:uid="{EEF39F70-196D-4937-BF69-4CAAA5745E8F}" name="Column7" dataDxfId="37"/>
    <tableColumn id="8" xr3:uid="{E0A20DB3-577E-4EB0-8C3B-A28E465F3DCC}" name="Column8" dataDxfId="36"/>
    <tableColumn id="9" xr3:uid="{61D4725F-EBDF-4E73-A7CA-2D82D9C73496}" name="Column9" dataDxfId="35"/>
    <tableColumn id="10" xr3:uid="{9D51D26F-4114-4E10-B719-1F4656AF4EA3}" name="Column10" dataDxfId="34"/>
    <tableColumn id="11" xr3:uid="{58BEDD6A-2D1F-4F24-8BAD-A77D2898ACFC}" name="Column11" dataDxfId="3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254A99-DC43-4F6C-8330-464A3A12B644}" name="Table57" displayName="Table57" ref="B19:L33" totalsRowShown="0" headerRowDxfId="32">
  <autoFilter ref="B19:L33" xr:uid="{73254A99-DC43-4F6C-8330-464A3A12B644}"/>
  <tableColumns count="11">
    <tableColumn id="1" xr3:uid="{47602F6E-3C9A-4D40-8174-A998A13CA818}" name="Column1" dataDxfId="31"/>
    <tableColumn id="2" xr3:uid="{45AC08DC-93A1-4AF8-9CC3-354DD66D3B08}" name="Column2" dataDxfId="30"/>
    <tableColumn id="3" xr3:uid="{0135BCAC-0023-4CEB-9B62-EBA0AF50C274}" name="Column3" dataDxfId="29"/>
    <tableColumn id="4" xr3:uid="{6D13750A-3E7B-493E-8823-50B2BDF2A6D1}" name="Column4" dataDxfId="28"/>
    <tableColumn id="5" xr3:uid="{40FF68D8-D995-47E1-ABEA-8D485A5823CD}" name="Column5" dataDxfId="27"/>
    <tableColumn id="6" xr3:uid="{21A94884-4795-4242-BD85-6FE2F6F91AFC}" name="Column6" dataDxfId="26"/>
    <tableColumn id="7" xr3:uid="{0D8688EC-2BA1-4EA3-8EE3-54D5513B5996}" name="Column7" dataDxfId="25"/>
    <tableColumn id="8" xr3:uid="{E327284B-EEE8-45A5-8890-3005C1F5A00B}" name="Column8" dataDxfId="24"/>
    <tableColumn id="9" xr3:uid="{4D86D8F9-A833-4680-A5A9-C0316C972273}" name="Column9" dataDxfId="23"/>
    <tableColumn id="10" xr3:uid="{E557FD4D-8115-46FA-A0DF-A86F1A1CEDE5}" name="Column10" dataDxfId="22"/>
    <tableColumn id="11" xr3:uid="{E85DB58C-2C1E-4766-8519-A54DE06047D4}" name="Column11" dataDxfId="2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13B5F8-3CC2-499F-8D79-6637C0B7ED60}" name="Table7" displayName="Table7" ref="A3:K4" insertRow="1" totalsRowShown="0" headerRowDxfId="20" tableBorderDxfId="19">
  <autoFilter ref="A3:K4" xr:uid="{AE13B5F8-3CC2-499F-8D79-6637C0B7ED60}"/>
  <tableColumns count="11">
    <tableColumn id="1" xr3:uid="{FFD2B0C2-FFBE-4051-B282-D577F966A863}" name="Staff ID"/>
    <tableColumn id="2" xr3:uid="{CEDE867B-CB0D-4716-AF4E-E1C36123FD8E}" name="Name" dataDxfId="18"/>
    <tableColumn id="3" xr3:uid="{39236EDF-3910-4C96-816D-777BCD47D49F}" name="Role"/>
    <tableColumn id="4" xr3:uid="{67FFC682-820D-4832-A15E-1F0E419256C1}" name="Leave Status"/>
    <tableColumn id="5" xr3:uid="{319C40D0-C7F0-4AFB-8C7E-03EF5DF5C0A8}" name="Clock-In Time"/>
    <tableColumn id="6" xr3:uid="{6267FCB7-B873-4C40-8F58-89ED1C29914B}" name="Clock-out Time"/>
    <tableColumn id="7" xr3:uid="{E28990D4-7622-4D31-A0DA-38169CD88611}" name="Biometric Status"/>
    <tableColumn id="8" xr3:uid="{AD5D0561-A235-48DE-99FC-894F8A26CBCB}" name="Manual Override"/>
    <tableColumn id="9" xr3:uid="{5FC0598C-DF99-4A83-AE96-06151472DA8E}" name="Override Reason"/>
    <tableColumn id="10" xr3:uid="{3182254A-9C90-4FBB-8C73-CBD6C8CEAA87}" name="Attendance State" dataDxfId="17"/>
    <tableColumn id="11" xr3:uid="{2C29EDB6-CB2C-44BF-B8C1-5E07E2F8A3BB}" name="Is Allocated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C45D26-1E7A-4D32-9BAF-B9887CA93218}" name="Table75" displayName="Table75" ref="A3:K16" totalsRowShown="0" headerRowDxfId="5" dataDxfId="4" tableBorderDxfId="16">
  <autoFilter ref="A3:K16" xr:uid="{AE13B5F8-3CC2-499F-8D79-6637C0B7ED60}"/>
  <tableColumns count="11">
    <tableColumn id="1" xr3:uid="{4F013E24-EF29-4C40-9DC6-4A012814D3F3}" name="Staff ID" dataDxfId="15"/>
    <tableColumn id="2" xr3:uid="{4050CE66-3626-4065-A555-D8E6722E665A}" name="Staff Name" dataDxfId="14"/>
    <tableColumn id="7" xr3:uid="{62344C3D-1E63-4368-8CA9-CC768A41E242}" name="Checked In Time" dataDxfId="13"/>
    <tableColumn id="11" xr3:uid="{637A9970-06FF-41EE-BC98-8877FA94F1E2}" name="Checked Out Time" dataDxfId="0"/>
    <tableColumn id="3" xr3:uid="{AB736CC9-832E-4C5F-8FAD-8193466DE74E}" name="Base Hours" dataDxfId="12"/>
    <tableColumn id="4" xr3:uid="{C343747C-C0AA-4EEC-BC0A-90D063E59DBC}" name="OT Hours" dataDxfId="11"/>
    <tableColumn id="5" xr3:uid="{8966B14F-AAE7-400E-8C97-7709CAFDE8F1}" name="Additional OT Hours" dataDxfId="10"/>
    <tableColumn id="6" xr3:uid="{EA160C23-D7B5-41FD-A8E0-B30237626503}" name="Project Done" dataDxfId="9"/>
    <tableColumn id="8" xr3:uid="{84668212-3A22-4E32-95AC-5400ABEC6CF3}" name="Base Salary" dataDxfId="8"/>
    <tableColumn id="9" xr3:uid="{9BC2FED3-E5EB-40EA-A74C-6096F3A65614}" name="OT Salary" dataDxfId="7"/>
    <tableColumn id="10" xr3:uid="{FCD3E47A-D96E-40C8-B5C0-EA636CFF8582}" name="Total Earned" dataDxfId="6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ED554C7-EF8A-4D6A-9A81-5F898F2F4003}" name="Table8" displayName="Table8" ref="M1:M2" insertRow="1" totalsRowShown="0" headerRowDxfId="1" dataDxfId="2">
  <autoFilter ref="M1:M2" xr:uid="{8ED554C7-EF8A-4D6A-9A81-5F898F2F4003}"/>
  <tableColumns count="1">
    <tableColumn id="1" xr3:uid="{4DBDBD63-3B79-4994-9CD4-E3C1D46351E7}" name="Late Checked In Cut Off Time" dataDxfId="3"/>
  </tableColumns>
  <tableStyleInfo name="SKSBStyleTable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80E54C-2966-43B2-A7EE-BFEDE7DB8B02}" name="StaffPreferenceTable" displayName="StaffPreferenceTable" ref="A1:K4" totalsRowShown="0" headerRowDxfId="63" dataDxfId="62">
  <autoFilter ref="A1:K4" xr:uid="{CFE42102-4484-4B90-B281-1EBB8F1B14F2}"/>
  <tableColumns count="11">
    <tableColumn id="1" xr3:uid="{BC4C59D3-B7A2-462C-9850-D9B3AB8C1592}" name="Staff ID" dataDxfId="61">
      <calculatedColumnFormula array="1">IFERROR(
    INDEX(_xlfn._xlws.FILTER([1]!StaffMasterTable[Staff_ID], [1]!StaffMasterTable[Active_Status] &lt;&gt; "OffContract"), ROW() - ROW(StaffPreferenceTable[[#Headers],[Staff ID]])),
    ""
)</calculatedColumnFormula>
    </tableColumn>
    <tableColumn id="9" xr3:uid="{3E1C0431-6133-4E8C-A79C-1AADE1BCA021}" name="Name" dataDxfId="60">
      <calculatedColumnFormula>IF(StaffPreferenceTable[[#This Row],[Staff ID]]="", "",
    _xlfn.LET(
        _xlpm.rowMatch, _xlfn.XLOOKUP(StaffPreferenceTable[[#This Row],[Staff ID]], [1]!StaffMasterTable[Staff_ID], [1]!StaffMasterTable[[Family_Name]:[Given_Name]], ""),
        TRIM(_xlfn.TEXTJOIN(" ", TRUE, INDEX(_xlpm.rowMatch, 1), INDEX(_xlpm.rowMatch, 3)))
    )
)</calculatedColumnFormula>
    </tableColumn>
    <tableColumn id="10" xr3:uid="{955E6C51-CADD-44D6-B6EF-35D86C0D2CCD}" name="Team" dataDxfId="59"/>
    <tableColumn id="11" xr3:uid="{99FA7FC6-5ADA-4BBA-8F91-F848C9EDA054}" name="Primary Skill" dataDxfId="58"/>
    <tableColumn id="8" xr3:uid="{123D9B6D-54D7-4179-BB3B-A8FFB69C998C}" name="Other Skills" dataDxfId="57"/>
    <tableColumn id="7" xr3:uid="{845E0D79-8CC7-453F-89C7-45713EF687AF}" name="Blacklisted Skills" dataDxfId="56"/>
    <tableColumn id="5" xr3:uid="{A87A26A2-F000-4DFA-9DEF-60185F95713B}" name="Preffered Vehicle Type" dataDxfId="55"/>
    <tableColumn id="12" xr3:uid="{CDB7A484-3B0C-4519-98EC-3FD26B8CCF7C}" name="Dedicated Vehicle Plate" dataDxfId="54"/>
    <tableColumn id="13" xr3:uid="{30D9AE32-F8BB-44EA-A447-A5FE9E6961FD}" name="Preffered Shift" dataDxfId="53"/>
    <tableColumn id="2" xr3:uid="{8BB5AEC4-53DD-4506-B236-33CE04204A4A}" name="Max days a week" dataDxfId="52"/>
    <tableColumn id="3" xr3:uid="{D41D8972-59E8-4D43-848D-C88ADF247752}" name="Rest Day Preference" dataDxfId="51"/>
  </tableColumns>
  <tableStyleInfo name="SKSBStyleTableSimp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F0E357-8BB2-4E6D-B8C3-80355E3C7E72}" name="TeamTable" displayName="TeamTable" ref="M1:M2" insertRow="1" totalsRowShown="0" headerRowDxfId="50" dataDxfId="49">
  <autoFilter ref="M1:M2" xr:uid="{C6B333EA-2A56-4BF7-8004-6D6BB4AD4369}"/>
  <tableColumns count="1">
    <tableColumn id="1" xr3:uid="{500FE8E3-888E-412F-8991-333F861959DE}" name="Teams" dataDxfId="48"/>
  </tableColumns>
  <tableStyleInfo name="SKSBStyleTableSimp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F0B6AC-008F-43E9-BE6F-F0D8C24F8669}" name="SkillsTable" displayName="SkillsTable" ref="O1:O2" insertRow="1" totalsRowShown="0" headerRowDxfId="47" dataDxfId="46">
  <autoFilter ref="O1:O2" xr:uid="{C64B3C69-AF7B-469E-9DDE-52EB31C7FE3C}"/>
  <tableColumns count="1">
    <tableColumn id="1" xr3:uid="{B1CCF030-0E41-430D-9954-A3D39EAC20B4}" name="Skills" dataDxfId="45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E7CA9-D600-4309-93FB-B354EBE0D108}">
  <dimension ref="A1:L33"/>
  <sheetViews>
    <sheetView tabSelected="1" zoomScaleNormal="100" workbookViewId="0">
      <selection activeCell="S18" sqref="S18"/>
    </sheetView>
  </sheetViews>
  <sheetFormatPr defaultRowHeight="14.5" x14ac:dyDescent="0.35"/>
  <cols>
    <col min="2" max="10" width="10.08984375" customWidth="1"/>
  </cols>
  <sheetData>
    <row r="1" spans="1:12" x14ac:dyDescent="0.35">
      <c r="A1" s="2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 t="s">
        <v>1</v>
      </c>
      <c r="L1" s="1"/>
    </row>
    <row r="3" spans="1:12" ht="30" customHeight="1" x14ac:dyDescent="0.35">
      <c r="A3" s="32" t="s">
        <v>13</v>
      </c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  <c r="I3" s="5" t="s">
        <v>9</v>
      </c>
      <c r="J3" s="6" t="s">
        <v>10</v>
      </c>
      <c r="K3" s="5" t="s">
        <v>11</v>
      </c>
      <c r="L3" s="5" t="s">
        <v>12</v>
      </c>
    </row>
    <row r="4" spans="1:12" x14ac:dyDescent="0.35">
      <c r="A4" s="32"/>
      <c r="B4" s="7"/>
      <c r="C4" s="7"/>
      <c r="D4" s="7"/>
      <c r="E4" s="7"/>
      <c r="F4" s="7"/>
      <c r="G4" s="7"/>
      <c r="H4" s="7"/>
      <c r="I4" s="7"/>
      <c r="J4" s="8"/>
      <c r="K4" s="7"/>
      <c r="L4" s="7"/>
    </row>
    <row r="5" spans="1:12" x14ac:dyDescent="0.35">
      <c r="A5" s="32"/>
      <c r="B5" s="9"/>
      <c r="C5" s="9"/>
      <c r="D5" s="9"/>
      <c r="E5" s="9"/>
      <c r="F5" s="9"/>
      <c r="G5" s="9"/>
      <c r="H5" s="9"/>
      <c r="I5" s="9"/>
      <c r="J5" s="10"/>
      <c r="K5" s="9"/>
      <c r="L5" s="9"/>
    </row>
    <row r="6" spans="1:12" x14ac:dyDescent="0.35">
      <c r="A6" s="32"/>
      <c r="B6" s="9"/>
      <c r="C6" s="9"/>
      <c r="D6" s="9"/>
      <c r="E6" s="9"/>
      <c r="F6" s="9"/>
      <c r="G6" s="9"/>
      <c r="H6" s="9"/>
      <c r="I6" s="9"/>
      <c r="J6" s="10"/>
      <c r="K6" s="9"/>
      <c r="L6" s="9"/>
    </row>
    <row r="7" spans="1:12" x14ac:dyDescent="0.35">
      <c r="A7" s="32"/>
      <c r="B7" s="9"/>
      <c r="C7" s="9"/>
      <c r="D7" s="9"/>
      <c r="E7" s="9"/>
      <c r="F7" s="9"/>
      <c r="G7" s="9"/>
      <c r="H7" s="9"/>
      <c r="I7" s="9"/>
      <c r="J7" s="10"/>
      <c r="K7" s="9"/>
      <c r="L7" s="9"/>
    </row>
    <row r="8" spans="1:12" x14ac:dyDescent="0.35">
      <c r="A8" s="32"/>
      <c r="B8" s="9"/>
      <c r="C8" s="9"/>
      <c r="D8" s="9"/>
      <c r="E8" s="9"/>
      <c r="F8" s="9"/>
      <c r="G8" s="9"/>
      <c r="H8" s="9"/>
      <c r="I8" s="9"/>
      <c r="J8" s="10"/>
      <c r="K8" s="9"/>
      <c r="L8" s="9"/>
    </row>
    <row r="9" spans="1:12" x14ac:dyDescent="0.35">
      <c r="A9" s="32"/>
      <c r="B9" s="9"/>
      <c r="C9" s="9"/>
      <c r="D9" s="9"/>
      <c r="E9" s="9"/>
      <c r="F9" s="9"/>
      <c r="G9" s="9"/>
      <c r="H9" s="9"/>
      <c r="I9" s="9"/>
      <c r="J9" s="10"/>
      <c r="K9" s="9"/>
      <c r="L9" s="9"/>
    </row>
    <row r="10" spans="1:12" x14ac:dyDescent="0.35">
      <c r="A10" s="32"/>
      <c r="B10" s="9"/>
      <c r="C10" s="9"/>
      <c r="D10" s="9"/>
      <c r="E10" s="9"/>
      <c r="F10" s="9"/>
      <c r="G10" s="9"/>
      <c r="H10" s="9"/>
      <c r="I10" s="9"/>
      <c r="J10" s="10"/>
      <c r="K10" s="9"/>
      <c r="L10" s="9"/>
    </row>
    <row r="11" spans="1:12" x14ac:dyDescent="0.35">
      <c r="A11" s="32"/>
      <c r="B11" s="9"/>
      <c r="C11" s="9"/>
      <c r="D11" s="9"/>
      <c r="E11" s="9"/>
      <c r="F11" s="9"/>
      <c r="G11" s="9"/>
      <c r="H11" s="9"/>
      <c r="I11" s="9"/>
      <c r="J11" s="10"/>
      <c r="K11" s="9"/>
      <c r="L11" s="9"/>
    </row>
    <row r="12" spans="1:12" x14ac:dyDescent="0.35">
      <c r="A12" s="32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2" x14ac:dyDescent="0.35">
      <c r="A13" s="32"/>
      <c r="B13" s="13"/>
      <c r="C13" s="13"/>
      <c r="D13" s="13"/>
      <c r="E13" s="13"/>
      <c r="F13" s="13"/>
      <c r="G13" s="13"/>
      <c r="H13" s="13"/>
      <c r="I13" s="13"/>
      <c r="J13" s="14"/>
      <c r="K13" s="13"/>
      <c r="L13" s="13"/>
    </row>
    <row r="14" spans="1:12" x14ac:dyDescent="0.35">
      <c r="A14" s="31" t="s">
        <v>15</v>
      </c>
      <c r="B14" s="7"/>
      <c r="C14" s="7"/>
      <c r="D14" s="7"/>
      <c r="E14" s="7"/>
      <c r="F14" s="7"/>
      <c r="G14" s="7"/>
      <c r="H14" s="7"/>
      <c r="I14" s="7"/>
      <c r="J14" s="8"/>
      <c r="K14" s="7"/>
      <c r="L14" s="7"/>
    </row>
    <row r="15" spans="1:12" x14ac:dyDescent="0.35">
      <c r="A15" s="31"/>
      <c r="B15" s="9"/>
      <c r="C15" s="9"/>
      <c r="D15" s="9"/>
      <c r="E15" s="9"/>
      <c r="F15" s="9"/>
      <c r="G15" s="9"/>
      <c r="H15" s="9"/>
      <c r="I15" s="9"/>
      <c r="J15" s="10"/>
      <c r="K15" s="9"/>
      <c r="L15" s="9"/>
    </row>
    <row r="16" spans="1:12" x14ac:dyDescent="0.35">
      <c r="A16" s="31"/>
      <c r="B16" s="9"/>
      <c r="C16" s="9"/>
      <c r="D16" s="9"/>
      <c r="E16" s="9"/>
      <c r="F16" s="9"/>
      <c r="G16" s="9"/>
      <c r="H16" s="9"/>
      <c r="I16" s="9"/>
      <c r="J16" s="10"/>
      <c r="K16" s="9"/>
      <c r="L16" s="9"/>
    </row>
    <row r="17" spans="1:12" x14ac:dyDescent="0.35">
      <c r="A17" s="31"/>
      <c r="B17" s="11"/>
      <c r="C17" s="11"/>
      <c r="D17" s="11"/>
      <c r="E17" s="11"/>
      <c r="F17" s="11"/>
      <c r="G17" s="11"/>
      <c r="H17" s="11"/>
      <c r="I17" s="11"/>
      <c r="J17" s="12"/>
      <c r="K17" s="11"/>
      <c r="L17" s="11"/>
    </row>
    <row r="18" spans="1:12" x14ac:dyDescent="0.35">
      <c r="A18" s="4"/>
    </row>
    <row r="19" spans="1:12" ht="30" customHeight="1" x14ac:dyDescent="0.35">
      <c r="A19" s="33" t="s">
        <v>14</v>
      </c>
      <c r="B19" s="15" t="s">
        <v>2</v>
      </c>
      <c r="C19" s="15" t="s">
        <v>3</v>
      </c>
      <c r="D19" s="15" t="s">
        <v>4</v>
      </c>
      <c r="E19" s="15" t="s">
        <v>5</v>
      </c>
      <c r="F19" s="15" t="s">
        <v>6</v>
      </c>
      <c r="G19" s="15" t="s">
        <v>7</v>
      </c>
      <c r="H19" s="15" t="s">
        <v>8</v>
      </c>
      <c r="I19" s="15" t="s">
        <v>9</v>
      </c>
      <c r="J19" s="16" t="s">
        <v>10</v>
      </c>
      <c r="K19" s="16" t="s">
        <v>11</v>
      </c>
      <c r="L19" s="18" t="s">
        <v>12</v>
      </c>
    </row>
    <row r="20" spans="1:12" x14ac:dyDescent="0.35">
      <c r="A20" s="33"/>
      <c r="B20" s="7"/>
      <c r="C20" s="7"/>
      <c r="D20" s="7"/>
      <c r="E20" s="7"/>
      <c r="F20" s="7"/>
      <c r="G20" s="7"/>
      <c r="H20" s="7"/>
      <c r="I20" s="7"/>
      <c r="J20" s="8"/>
      <c r="K20" s="7"/>
      <c r="L20" s="7"/>
    </row>
    <row r="21" spans="1:12" x14ac:dyDescent="0.35">
      <c r="A21" s="33"/>
      <c r="B21" s="9"/>
      <c r="C21" s="9"/>
      <c r="D21" s="9"/>
      <c r="E21" s="9"/>
      <c r="F21" s="9"/>
      <c r="G21" s="9"/>
      <c r="H21" s="9"/>
      <c r="I21" s="9"/>
      <c r="J21" s="10"/>
      <c r="K21" s="9"/>
      <c r="L21" s="9"/>
    </row>
    <row r="22" spans="1:12" x14ac:dyDescent="0.35">
      <c r="A22" s="33"/>
      <c r="B22" s="9"/>
      <c r="C22" s="9"/>
      <c r="D22" s="9"/>
      <c r="E22" s="9"/>
      <c r="F22" s="9"/>
      <c r="G22" s="9"/>
      <c r="H22" s="9"/>
      <c r="I22" s="9"/>
      <c r="J22" s="10"/>
      <c r="K22" s="9"/>
      <c r="L22" s="9"/>
    </row>
    <row r="23" spans="1:12" x14ac:dyDescent="0.35">
      <c r="A23" s="33"/>
      <c r="B23" s="9"/>
      <c r="C23" s="9"/>
      <c r="D23" s="9"/>
      <c r="E23" s="9"/>
      <c r="F23" s="9"/>
      <c r="G23" s="9"/>
      <c r="H23" s="9"/>
      <c r="I23" s="9"/>
      <c r="J23" s="10"/>
      <c r="K23" s="9"/>
      <c r="L23" s="9"/>
    </row>
    <row r="24" spans="1:12" x14ac:dyDescent="0.35">
      <c r="A24" s="33"/>
      <c r="B24" s="9"/>
      <c r="C24" s="9"/>
      <c r="D24" s="9"/>
      <c r="E24" s="9"/>
      <c r="F24" s="9"/>
      <c r="G24" s="9"/>
      <c r="H24" s="9"/>
      <c r="I24" s="9"/>
      <c r="J24" s="10"/>
      <c r="K24" s="9"/>
      <c r="L24" s="9"/>
    </row>
    <row r="25" spans="1:12" x14ac:dyDescent="0.35">
      <c r="A25" s="33"/>
      <c r="B25" s="9"/>
      <c r="C25" s="9"/>
      <c r="D25" s="9"/>
      <c r="E25" s="9"/>
      <c r="F25" s="9"/>
      <c r="G25" s="9"/>
      <c r="H25" s="9"/>
      <c r="I25" s="9"/>
      <c r="J25" s="10"/>
      <c r="K25" s="9"/>
      <c r="L25" s="9"/>
    </row>
    <row r="26" spans="1:12" x14ac:dyDescent="0.35">
      <c r="A26" s="33"/>
      <c r="B26" s="9"/>
      <c r="C26" s="9"/>
      <c r="D26" s="9"/>
      <c r="E26" s="9"/>
      <c r="F26" s="9"/>
      <c r="G26" s="9"/>
      <c r="H26" s="9"/>
      <c r="I26" s="9"/>
      <c r="J26" s="10"/>
      <c r="K26" s="9"/>
      <c r="L26" s="9"/>
    </row>
    <row r="27" spans="1:12" x14ac:dyDescent="0.35">
      <c r="A27" s="33"/>
      <c r="B27" s="9"/>
      <c r="C27" s="9"/>
      <c r="D27" s="9"/>
      <c r="E27" s="9"/>
      <c r="F27" s="9"/>
      <c r="G27" s="9"/>
      <c r="H27" s="9"/>
      <c r="I27" s="9"/>
      <c r="J27" s="10"/>
      <c r="K27" s="9"/>
      <c r="L27" s="9"/>
    </row>
    <row r="28" spans="1:12" x14ac:dyDescent="0.35">
      <c r="A28" s="33"/>
      <c r="B28" s="9"/>
      <c r="C28" s="9"/>
      <c r="D28" s="9"/>
      <c r="E28" s="9"/>
      <c r="F28" s="9"/>
      <c r="G28" s="9"/>
      <c r="H28" s="9"/>
      <c r="I28" s="9"/>
      <c r="J28" s="10"/>
      <c r="K28" s="9"/>
      <c r="L28" s="9"/>
    </row>
    <row r="29" spans="1:12" x14ac:dyDescent="0.35">
      <c r="A29" s="33"/>
      <c r="B29" s="13"/>
      <c r="C29" s="13"/>
      <c r="D29" s="13"/>
      <c r="E29" s="13"/>
      <c r="F29" s="13"/>
      <c r="G29" s="13"/>
      <c r="H29" s="13"/>
      <c r="I29" s="13"/>
      <c r="J29" s="14"/>
      <c r="K29" s="13"/>
      <c r="L29" s="13"/>
    </row>
    <row r="30" spans="1:12" x14ac:dyDescent="0.35">
      <c r="A30" s="31" t="s">
        <v>15</v>
      </c>
      <c r="B30" s="7"/>
      <c r="C30" s="7"/>
      <c r="D30" s="7"/>
      <c r="E30" s="7"/>
      <c r="F30" s="7"/>
      <c r="G30" s="7"/>
      <c r="H30" s="7"/>
      <c r="I30" s="7"/>
      <c r="J30" s="8"/>
      <c r="K30" s="7"/>
      <c r="L30" s="7"/>
    </row>
    <row r="31" spans="1:12" x14ac:dyDescent="0.35">
      <c r="A31" s="31"/>
      <c r="B31" s="9"/>
      <c r="C31" s="9"/>
      <c r="D31" s="9"/>
      <c r="E31" s="9"/>
      <c r="F31" s="9"/>
      <c r="G31" s="9"/>
      <c r="H31" s="9"/>
      <c r="I31" s="9"/>
      <c r="J31" s="10"/>
      <c r="K31" s="9"/>
      <c r="L31" s="9"/>
    </row>
    <row r="32" spans="1:12" x14ac:dyDescent="0.35">
      <c r="A32" s="31"/>
      <c r="B32" s="9"/>
      <c r="C32" s="9"/>
      <c r="D32" s="9"/>
      <c r="E32" s="9"/>
      <c r="F32" s="9"/>
      <c r="G32" s="9"/>
      <c r="H32" s="9"/>
      <c r="I32" s="9"/>
      <c r="J32" s="10"/>
      <c r="K32" s="9"/>
      <c r="L32" s="9"/>
    </row>
    <row r="33" spans="1:12" x14ac:dyDescent="0.35">
      <c r="A33" s="31"/>
      <c r="B33" s="11"/>
      <c r="C33" s="11"/>
      <c r="D33" s="11"/>
      <c r="E33" s="11"/>
      <c r="F33" s="11"/>
      <c r="G33" s="11"/>
      <c r="H33" s="11"/>
      <c r="I33" s="11"/>
      <c r="J33" s="12"/>
      <c r="K33" s="11"/>
      <c r="L33" s="11"/>
    </row>
  </sheetData>
  <mergeCells count="4">
    <mergeCell ref="A30:A33"/>
    <mergeCell ref="A3:A13"/>
    <mergeCell ref="A14:A17"/>
    <mergeCell ref="A19:A29"/>
  </mergeCells>
  <phoneticPr fontId="2" type="noConversion"/>
  <pageMargins left="0.7" right="0.7" top="0.75" bottom="0.75" header="0.3" footer="0.3"/>
  <pageSetup paperSize="9" orientation="landscape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CB55-080B-4073-9274-8BEB80C0C90B}">
  <dimension ref="A1:K16"/>
  <sheetViews>
    <sheetView workbookViewId="0">
      <selection activeCell="N7" sqref="N7"/>
    </sheetView>
  </sheetViews>
  <sheetFormatPr defaultRowHeight="14.5" x14ac:dyDescent="0.35"/>
  <cols>
    <col min="1" max="1" width="9.26953125" bestFit="1" customWidth="1"/>
    <col min="2" max="2" width="8" style="23" bestFit="1" customWidth="1"/>
    <col min="3" max="3" width="6.81640625" bestFit="1" customWidth="1"/>
    <col min="4" max="4" width="13.6328125" bestFit="1" customWidth="1"/>
    <col min="5" max="5" width="14.6328125" bestFit="1" customWidth="1"/>
    <col min="6" max="6" width="15.81640625" bestFit="1" customWidth="1"/>
    <col min="7" max="7" width="17" bestFit="1" customWidth="1"/>
    <col min="8" max="9" width="16.81640625" bestFit="1" customWidth="1"/>
    <col min="10" max="10" width="17.54296875" bestFit="1" customWidth="1"/>
    <col min="11" max="11" width="12.81640625" bestFit="1" customWidth="1"/>
  </cols>
  <sheetData>
    <row r="1" spans="1:11" x14ac:dyDescent="0.35">
      <c r="A1" s="2" t="s">
        <v>0</v>
      </c>
      <c r="B1" s="17"/>
      <c r="C1" s="17"/>
      <c r="D1" s="17"/>
      <c r="E1" s="17"/>
      <c r="F1" s="17"/>
      <c r="G1" s="17"/>
      <c r="H1" s="17"/>
      <c r="I1" s="17"/>
      <c r="J1" s="17" t="s">
        <v>1</v>
      </c>
      <c r="K1" s="20"/>
    </row>
    <row r="2" spans="1:11" x14ac:dyDescent="0.35">
      <c r="A2" s="3"/>
      <c r="B2"/>
    </row>
    <row r="3" spans="1:11" s="21" customFormat="1" x14ac:dyDescent="0.35">
      <c r="A3" s="21" t="s">
        <v>20</v>
      </c>
      <c r="B3" s="21" t="s">
        <v>16</v>
      </c>
      <c r="C3" s="21" t="s">
        <v>17</v>
      </c>
      <c r="D3" s="21" t="s">
        <v>19</v>
      </c>
      <c r="E3" s="21" t="s">
        <v>18</v>
      </c>
      <c r="F3" s="21" t="s">
        <v>21</v>
      </c>
      <c r="G3" s="21" t="s">
        <v>22</v>
      </c>
      <c r="H3" s="21" t="s">
        <v>23</v>
      </c>
      <c r="I3" s="21" t="s">
        <v>24</v>
      </c>
      <c r="J3" s="22" t="s">
        <v>25</v>
      </c>
      <c r="K3" s="21" t="s">
        <v>26</v>
      </c>
    </row>
    <row r="4" spans="1:11" x14ac:dyDescent="0.35">
      <c r="J4" s="19"/>
    </row>
    <row r="5" spans="1:11" x14ac:dyDescent="0.35">
      <c r="J5" s="19"/>
    </row>
    <row r="6" spans="1:11" x14ac:dyDescent="0.35">
      <c r="J6" s="19"/>
    </row>
    <row r="7" spans="1:11" x14ac:dyDescent="0.35">
      <c r="J7" s="19"/>
    </row>
    <row r="8" spans="1:11" x14ac:dyDescent="0.35">
      <c r="J8" s="19"/>
    </row>
    <row r="9" spans="1:11" x14ac:dyDescent="0.35">
      <c r="J9" s="19"/>
    </row>
    <row r="10" spans="1:11" x14ac:dyDescent="0.35">
      <c r="J10" s="19"/>
    </row>
    <row r="11" spans="1:11" x14ac:dyDescent="0.35">
      <c r="J11" s="19"/>
    </row>
    <row r="12" spans="1:11" x14ac:dyDescent="0.35">
      <c r="J12" s="19"/>
    </row>
    <row r="13" spans="1:11" x14ac:dyDescent="0.35">
      <c r="J13" s="19"/>
    </row>
    <row r="14" spans="1:11" x14ac:dyDescent="0.35">
      <c r="J14" s="19"/>
    </row>
    <row r="15" spans="1:11" x14ac:dyDescent="0.35">
      <c r="J15" s="19"/>
    </row>
    <row r="16" spans="1:11" x14ac:dyDescent="0.35">
      <c r="J16" s="19"/>
    </row>
  </sheetData>
  <phoneticPr fontId="2" type="noConversion"/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D8EE8-6093-4FC9-B4A8-AA443ADFE306}">
  <dimension ref="A1:M16"/>
  <sheetViews>
    <sheetView workbookViewId="0">
      <selection activeCell="R7" sqref="R7"/>
    </sheetView>
  </sheetViews>
  <sheetFormatPr defaultRowHeight="14.5" x14ac:dyDescent="0.35"/>
  <cols>
    <col min="1" max="1" width="8.90625" style="34" bestFit="1" customWidth="1"/>
    <col min="2" max="2" width="12" style="36" bestFit="1" customWidth="1"/>
    <col min="3" max="3" width="16.453125" style="45" bestFit="1" customWidth="1"/>
    <col min="4" max="4" width="18" style="45" bestFit="1" customWidth="1"/>
    <col min="5" max="5" width="12.26953125" style="34" bestFit="1" customWidth="1"/>
    <col min="6" max="6" width="10.54296875" style="34" bestFit="1" customWidth="1"/>
    <col min="7" max="7" width="19.08984375" style="34" bestFit="1" customWidth="1"/>
    <col min="8" max="8" width="13.54296875" style="34" bestFit="1" customWidth="1"/>
    <col min="9" max="9" width="12.36328125" style="34" bestFit="1" customWidth="1"/>
    <col min="10" max="10" width="10.6328125" style="34" bestFit="1" customWidth="1"/>
    <col min="11" max="11" width="13.08984375" style="34" bestFit="1" customWidth="1"/>
    <col min="12" max="12" width="11" style="34" customWidth="1"/>
    <col min="13" max="13" width="26.6328125" style="34" bestFit="1" customWidth="1"/>
    <col min="14" max="16384" width="8.7265625" style="34"/>
  </cols>
  <sheetData>
    <row r="1" spans="1:13" x14ac:dyDescent="0.35">
      <c r="A1" s="37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38" t="s">
        <v>1</v>
      </c>
      <c r="L1" s="45"/>
      <c r="M1" s="34" t="s">
        <v>47</v>
      </c>
    </row>
    <row r="2" spans="1:13" x14ac:dyDescent="0.35">
      <c r="A2" s="39"/>
      <c r="B2" s="40"/>
      <c r="C2" s="38"/>
      <c r="D2" s="46"/>
      <c r="E2" s="40"/>
      <c r="F2" s="40"/>
      <c r="G2" s="40"/>
      <c r="H2" s="40"/>
      <c r="I2" s="40"/>
      <c r="J2" s="40"/>
      <c r="K2" s="40"/>
    </row>
    <row r="3" spans="1:13" s="35" customFormat="1" x14ac:dyDescent="0.35">
      <c r="A3" s="41" t="s">
        <v>20</v>
      </c>
      <c r="B3" s="41" t="s">
        <v>38</v>
      </c>
      <c r="C3" s="38" t="s">
        <v>43</v>
      </c>
      <c r="D3" s="46" t="s">
        <v>48</v>
      </c>
      <c r="E3" s="41" t="s">
        <v>39</v>
      </c>
      <c r="F3" s="41" t="s">
        <v>40</v>
      </c>
      <c r="G3" s="41" t="s">
        <v>41</v>
      </c>
      <c r="H3" s="41" t="s">
        <v>42</v>
      </c>
      <c r="I3" s="41" t="s">
        <v>44</v>
      </c>
      <c r="J3" s="41" t="s">
        <v>45</v>
      </c>
      <c r="K3" s="42" t="s">
        <v>46</v>
      </c>
    </row>
    <row r="4" spans="1:13" x14ac:dyDescent="0.35">
      <c r="A4" s="40"/>
      <c r="B4" s="43"/>
      <c r="C4" s="38"/>
      <c r="D4" s="46"/>
      <c r="E4" s="40"/>
      <c r="F4" s="40"/>
      <c r="G4" s="40"/>
      <c r="H4" s="40"/>
      <c r="I4" s="40"/>
      <c r="J4" s="40"/>
      <c r="K4" s="44"/>
    </row>
    <row r="5" spans="1:13" x14ac:dyDescent="0.35">
      <c r="A5" s="40"/>
      <c r="B5" s="43"/>
      <c r="C5" s="38"/>
      <c r="D5" s="46"/>
      <c r="E5" s="40"/>
      <c r="F5" s="40"/>
      <c r="G5" s="40"/>
      <c r="H5" s="40"/>
      <c r="I5" s="40"/>
      <c r="J5" s="40"/>
      <c r="K5" s="44"/>
    </row>
    <row r="6" spans="1:13" x14ac:dyDescent="0.35">
      <c r="A6" s="40"/>
      <c r="B6" s="43"/>
      <c r="C6" s="38"/>
      <c r="D6" s="46"/>
      <c r="E6" s="40"/>
      <c r="F6" s="40"/>
      <c r="G6" s="40"/>
      <c r="H6" s="40"/>
      <c r="I6" s="40"/>
      <c r="J6" s="40"/>
      <c r="K6" s="44"/>
    </row>
    <row r="7" spans="1:13" x14ac:dyDescent="0.35">
      <c r="A7" s="40"/>
      <c r="B7" s="43"/>
      <c r="C7" s="38"/>
      <c r="D7" s="46"/>
      <c r="E7" s="40"/>
      <c r="F7" s="40"/>
      <c r="G7" s="40"/>
      <c r="H7" s="40"/>
      <c r="I7" s="40"/>
      <c r="J7" s="40"/>
      <c r="K7" s="44"/>
    </row>
    <row r="8" spans="1:13" x14ac:dyDescent="0.35">
      <c r="A8" s="40"/>
      <c r="B8" s="43"/>
      <c r="C8" s="38"/>
      <c r="D8" s="46"/>
      <c r="E8" s="40"/>
      <c r="F8" s="40"/>
      <c r="G8" s="40"/>
      <c r="H8" s="40"/>
      <c r="I8" s="40"/>
      <c r="J8" s="40"/>
      <c r="K8" s="44"/>
    </row>
    <row r="9" spans="1:13" x14ac:dyDescent="0.35">
      <c r="A9" s="40"/>
      <c r="B9" s="43"/>
      <c r="C9" s="38"/>
      <c r="D9" s="46"/>
      <c r="E9" s="40"/>
      <c r="F9" s="40"/>
      <c r="G9" s="40"/>
      <c r="H9" s="40"/>
      <c r="I9" s="40"/>
      <c r="J9" s="40"/>
      <c r="K9" s="44"/>
    </row>
    <row r="10" spans="1:13" x14ac:dyDescent="0.35">
      <c r="A10" s="40"/>
      <c r="B10" s="43"/>
      <c r="C10" s="38"/>
      <c r="D10" s="46"/>
      <c r="E10" s="40"/>
      <c r="F10" s="40"/>
      <c r="G10" s="40"/>
      <c r="H10" s="40"/>
      <c r="I10" s="40"/>
      <c r="J10" s="40"/>
      <c r="K10" s="44"/>
    </row>
    <row r="11" spans="1:13" x14ac:dyDescent="0.35">
      <c r="A11" s="40"/>
      <c r="B11" s="43"/>
      <c r="C11" s="38"/>
      <c r="D11" s="46"/>
      <c r="E11" s="40"/>
      <c r="F11" s="40"/>
      <c r="G11" s="40"/>
      <c r="H11" s="40"/>
      <c r="I11" s="40"/>
      <c r="J11" s="40"/>
      <c r="K11" s="44"/>
    </row>
    <row r="12" spans="1:13" x14ac:dyDescent="0.35">
      <c r="A12" s="40"/>
      <c r="B12" s="43"/>
      <c r="C12" s="38"/>
      <c r="D12" s="46"/>
      <c r="E12" s="40"/>
      <c r="F12" s="40"/>
      <c r="G12" s="40"/>
      <c r="H12" s="40"/>
      <c r="I12" s="40"/>
      <c r="J12" s="40"/>
      <c r="K12" s="44"/>
    </row>
    <row r="13" spans="1:13" x14ac:dyDescent="0.35">
      <c r="A13" s="40"/>
      <c r="B13" s="43"/>
      <c r="C13" s="38"/>
      <c r="D13" s="46"/>
      <c r="E13" s="40"/>
      <c r="F13" s="40"/>
      <c r="G13" s="40"/>
      <c r="H13" s="40"/>
      <c r="I13" s="40"/>
      <c r="J13" s="40"/>
      <c r="K13" s="44"/>
    </row>
    <row r="14" spans="1:13" x14ac:dyDescent="0.35">
      <c r="A14" s="40"/>
      <c r="B14" s="43"/>
      <c r="C14" s="38"/>
      <c r="D14" s="46"/>
      <c r="E14" s="40"/>
      <c r="F14" s="40"/>
      <c r="G14" s="40"/>
      <c r="H14" s="40"/>
      <c r="I14" s="40"/>
      <c r="J14" s="40"/>
      <c r="K14" s="44"/>
    </row>
    <row r="15" spans="1:13" x14ac:dyDescent="0.35">
      <c r="A15" s="40"/>
      <c r="B15" s="43"/>
      <c r="C15" s="38"/>
      <c r="D15" s="46"/>
      <c r="E15" s="40"/>
      <c r="F15" s="40"/>
      <c r="G15" s="40"/>
      <c r="H15" s="40"/>
      <c r="I15" s="40"/>
      <c r="J15" s="40"/>
      <c r="K15" s="44"/>
    </row>
    <row r="16" spans="1:13" x14ac:dyDescent="0.35">
      <c r="A16" s="40"/>
      <c r="B16" s="43"/>
      <c r="C16" s="39"/>
      <c r="D16" s="46"/>
      <c r="E16" s="40"/>
      <c r="F16" s="40"/>
      <c r="G16" s="40"/>
      <c r="H16" s="40"/>
      <c r="I16" s="40"/>
      <c r="J16" s="40"/>
      <c r="K16" s="44"/>
    </row>
  </sheetData>
  <pageMargins left="0.7" right="0.7" top="0.75" bottom="0.75" header="0.3" footer="0.3"/>
  <pageSetup paperSize="9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8AB2E-549B-4841-9355-BB6203FF935C}">
  <dimension ref="A1:O4"/>
  <sheetViews>
    <sheetView showGridLines="0" zoomScale="85" zoomScaleNormal="85" workbookViewId="0">
      <selection activeCell="F40" sqref="F40"/>
    </sheetView>
  </sheetViews>
  <sheetFormatPr defaultColWidth="8.81640625" defaultRowHeight="14.5" x14ac:dyDescent="0.35"/>
  <cols>
    <col min="1" max="1" width="9.54296875" style="24" customWidth="1"/>
    <col min="2" max="2" width="23.81640625" style="24" customWidth="1"/>
    <col min="3" max="3" width="16.54296875" style="24" customWidth="1"/>
    <col min="4" max="4" width="17.54296875" style="24" customWidth="1"/>
    <col min="5" max="5" width="20.54296875" style="24" customWidth="1"/>
    <col min="6" max="6" width="25.81640625" style="24" customWidth="1"/>
    <col min="7" max="7" width="28.81640625" style="24" customWidth="1"/>
    <col min="8" max="8" width="29" style="24" customWidth="1"/>
    <col min="9" max="9" width="27.1796875" style="24" customWidth="1"/>
    <col min="10" max="10" width="25.81640625" style="25" customWidth="1"/>
    <col min="11" max="11" width="21.81640625" style="24" customWidth="1"/>
    <col min="12" max="12" width="19" style="24" customWidth="1"/>
    <col min="13" max="13" width="17.36328125" style="24" customWidth="1"/>
    <col min="14" max="14" width="8.81640625" style="24"/>
    <col min="15" max="15" width="22.1796875" style="24" customWidth="1"/>
    <col min="16" max="16384" width="8.81640625" style="24"/>
  </cols>
  <sheetData>
    <row r="1" spans="1:15" x14ac:dyDescent="0.35">
      <c r="A1" s="30" t="s">
        <v>20</v>
      </c>
      <c r="B1" s="30" t="s">
        <v>16</v>
      </c>
      <c r="C1" s="27" t="s">
        <v>32</v>
      </c>
      <c r="D1" s="26" t="s">
        <v>31</v>
      </c>
      <c r="E1" s="26" t="s">
        <v>29</v>
      </c>
      <c r="F1" s="26" t="s">
        <v>30</v>
      </c>
      <c r="G1" s="29" t="s">
        <v>33</v>
      </c>
      <c r="H1" s="29" t="s">
        <v>34</v>
      </c>
      <c r="I1" s="28" t="s">
        <v>35</v>
      </c>
      <c r="J1" s="28" t="s">
        <v>36</v>
      </c>
      <c r="K1" s="28" t="s">
        <v>37</v>
      </c>
      <c r="M1" s="27" t="s">
        <v>28</v>
      </c>
      <c r="O1" s="26" t="s">
        <v>27</v>
      </c>
    </row>
    <row r="2" spans="1:15" x14ac:dyDescent="0.35">
      <c r="A2" s="24" t="str" cm="1">
        <f t="array" ref="A2">IFERROR(
    INDEX(_xlfn._xlws.FILTER([1]!StaffMasterTable[Staff_ID], [1]!StaffMasterTable[Active_Status] &lt;&gt; "OffContract"), ROW() - ROW(StaffPreferenceTable[[#Headers],[Staff ID]])),
    ""
)</f>
        <v/>
      </c>
      <c r="B2" t="str">
        <f>IF(StaffPreferenceTable[[#This Row],[Staff ID]]="", "",
    _xlfn.LET(
        _xlpm.rowMatch, _xlfn.XLOOKUP(StaffPreferenceTable[[#This Row],[Staff ID]], [1]!StaffMasterTable[Staff_ID], [1]!StaffMasterTable[[Family_Name]:[Given_Name]], ""),
        TRIM(_xlfn.TEXTJOIN(" ", TRUE, INDEX(_xlpm.rowMatch, 1), INDEX(_xlpm.rowMatch, 3)))
    )
)</f>
        <v/>
      </c>
    </row>
    <row r="3" spans="1:15" x14ac:dyDescent="0.35">
      <c r="A3" s="24" t="str" cm="1">
        <f t="array" ref="A3">IFERROR(
    INDEX(_xlfn._xlws.FILTER([1]!StaffMasterTable[Staff_ID], [1]!StaffMasterTable[Active_Status] &lt;&gt; "OffContract"), ROW() - ROW(StaffPreferenceTable[[#Headers],[Staff ID]])),
    ""
)</f>
        <v/>
      </c>
      <c r="B3" t="str">
        <f>IF(StaffPreferenceTable[[#This Row],[Staff ID]]="", "",
    _xlfn.LET(
        _xlpm.rowMatch, _xlfn.XLOOKUP(StaffPreferenceTable[[#This Row],[Staff ID]], [1]!StaffMasterTable[Staff_ID], [1]!StaffMasterTable[[Family_Name]:[Given_Name]], ""),
        TRIM(_xlfn.TEXTJOIN(" ", TRUE, INDEX(_xlpm.rowMatch, 1), INDEX(_xlpm.rowMatch, 3)))
    )
)</f>
        <v/>
      </c>
    </row>
    <row r="4" spans="1:15" x14ac:dyDescent="0.35">
      <c r="A4" s="24" t="str" cm="1">
        <f t="array" ref="A4">IFERROR(
    INDEX(_xlfn._xlws.FILTER([1]!StaffMasterTable[Staff_ID], [1]!StaffMasterTable[Active_Status] &lt;&gt; "OffContract"), ROW() - ROW(StaffPreferenceTable[[#Headers],[Staff ID]])),
    ""
)</f>
        <v/>
      </c>
      <c r="B4" t="str">
        <f>IF(StaffPreferenceTable[[#This Row],[Staff ID]]="", "",
    _xlfn.LET(
        _xlpm.rowMatch, _xlfn.XLOOKUP(StaffPreferenceTable[[#This Row],[Staff ID]], [1]!StaffMasterTable[Staff_ID], [1]!StaffMasterTable[[Family_Name]:[Given_Name]], ""),
        TRIM(_xlfn.TEXTJOIN(" ", TRUE, INDEX(_xlpm.rowMatch, 1), INDEX(_xlpm.rowMatch, 3)))
    )
)</f>
        <v/>
      </c>
    </row>
  </sheetData>
  <dataValidations count="4">
    <dataValidation type="list" allowBlank="1" showInputMessage="1" showErrorMessage="1" errorTitle="Invalid Value" error="Please pick an approved value from the dropdown list." sqref="J2:J4" xr:uid="{AB393258-8B76-4638-AEC2-50F5F2356968}">
      <formula1>ShiftList</formula1>
    </dataValidation>
    <dataValidation type="list" allowBlank="1" showInputMessage="1" showErrorMessage="1" errorTitle="Invalid Value" error="Please pick an approved value from the dropdown list." sqref="H2:H4" xr:uid="{CF3EADF6-EC15-407D-A4C7-B6568F0F4A78}">
      <formula1>VehicleTypeList</formula1>
    </dataValidation>
    <dataValidation type="list" allowBlank="1" showInputMessage="1" showErrorMessage="1" errorTitle="Invalid Value" error="Please pick an approved value from the dropdown list." sqref="E2:G4" xr:uid="{93E060DB-BEFE-4067-BAE1-3B61208312C2}">
      <formula1>SkillsList</formula1>
    </dataValidation>
    <dataValidation type="list" allowBlank="1" showInputMessage="1" showErrorMessage="1" errorTitle="Invalid Value" error="Please pick an approved value from the dropdown list." sqref="C2:D4" xr:uid="{A551EB39-9752-4D75-9428-E692E2A7C0F0}">
      <formula1>TeamList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Daily Schedule</vt:lpstr>
      <vt:lpstr>Daily Attendance</vt:lpstr>
      <vt:lpstr>Daily Salary</vt:lpstr>
      <vt:lpstr>Preference</vt:lpstr>
      <vt:lpstr>'Daily Salary'!SkillsList</vt:lpstr>
      <vt:lpstr>SkillsList</vt:lpstr>
      <vt:lpstr>'Daily Salary'!TeamList</vt:lpstr>
      <vt:lpstr>TeamList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2026-10-08T08:38:41Z</cp:lastPrinted>
  <dcterms:created xsi:type="dcterms:W3CDTF">2026-09-21T07:07:35Z</dcterms:created>
  <dcterms:modified xsi:type="dcterms:W3CDTF">2026-10-08T09:27:22Z</dcterms:modified>
</cp:coreProperties>
</file>